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46184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46184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46184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46184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46184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46184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46184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46184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25561-2025</t>
        </is>
      </c>
      <c r="B10" s="1" t="n">
        <v>45803.45496527778</v>
      </c>
      <c r="C10" s="1" t="n">
        <v>46184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25561-2025 artfynd.xlsx", "A 25561-2025")</f>
        <v/>
      </c>
      <c r="T10">
        <f>HYPERLINK("https://klasma.github.io/Logging_0139/kartor/A 25561-2025 karta.png", "A 25561-2025")</f>
        <v/>
      </c>
      <c r="V10">
        <f>HYPERLINK("https://klasma.github.io/Logging_0139/klagomål/A 25561-2025 FSC-klagomål.docx", "A 25561-2025")</f>
        <v/>
      </c>
      <c r="W10">
        <f>HYPERLINK("https://klasma.github.io/Logging_0139/klagomålsmail/A 25561-2025 FSC-klagomål mail.docx", "A 25561-2025")</f>
        <v/>
      </c>
      <c r="X10">
        <f>HYPERLINK("https://klasma.github.io/Logging_0139/tillsyn/A 25561-2025 tillsynsbegäran.docx", "A 25561-2025")</f>
        <v/>
      </c>
      <c r="Y10">
        <f>HYPERLINK("https://klasma.github.io/Logging_0139/tillsynsmail/A 25561-2025 tillsynsbegäran mail.docx", "A 25561-2025")</f>
        <v/>
      </c>
    </row>
    <row r="11" ht="15" customHeight="1">
      <c r="A11" t="inlineStr">
        <is>
          <t>A 53357-2025</t>
        </is>
      </c>
      <c r="B11" s="1" t="n">
        <v>45959.46942129629</v>
      </c>
      <c r="C11" s="1" t="n">
        <v>46184</v>
      </c>
      <c r="D11" t="inlineStr">
        <is>
          <t>STOCKHOLMS LÄN</t>
        </is>
      </c>
      <c r="E11" t="inlineStr">
        <is>
          <t>UPPLANDS-BRO</t>
        </is>
      </c>
      <c r="G11" t="n">
        <v>2.4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53357-2025 artfynd.xlsx", "A 53357-2025")</f>
        <v/>
      </c>
      <c r="T11">
        <f>HYPERLINK("https://klasma.github.io/Logging_0139/kartor/A 53357-2025 karta.png", "A 53357-2025")</f>
        <v/>
      </c>
      <c r="V11">
        <f>HYPERLINK("https://klasma.github.io/Logging_0139/klagomål/A 53357-2025 FSC-klagomål.docx", "A 53357-2025")</f>
        <v/>
      </c>
      <c r="W11">
        <f>HYPERLINK("https://klasma.github.io/Logging_0139/klagomålsmail/A 53357-2025 FSC-klagomål mail.docx", "A 53357-2025")</f>
        <v/>
      </c>
      <c r="X11">
        <f>HYPERLINK("https://klasma.github.io/Logging_0139/tillsyn/A 53357-2025 tillsynsbegäran.docx", "A 53357-2025")</f>
        <v/>
      </c>
      <c r="Y11">
        <f>HYPERLINK("https://klasma.github.io/Logging_0139/tillsynsmail/A 53357-2025 tillsynsbegäran mail.docx", "A 53357-2025")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46184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2409-2026</t>
        </is>
      </c>
      <c r="B13" s="1" t="n">
        <v>46034</v>
      </c>
      <c r="C13" s="1" t="n">
        <v>46184</v>
      </c>
      <c r="D13" t="inlineStr">
        <is>
          <t>STOCKHOLMS LÄN</t>
        </is>
      </c>
      <c r="E13" t="inlineStr">
        <is>
          <t>UPPLANDS-BRO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HYPERLINK("https://klasma.github.io/Logging_0139/artfynd/A 2409-2026 artfynd.xlsx", "A 2409-2026")</f>
        <v/>
      </c>
      <c r="T13">
        <f>HYPERLINK("https://klasma.github.io/Logging_0139/kartor/A 2409-2026 karta.png", "A 2409-2026")</f>
        <v/>
      </c>
      <c r="V13">
        <f>HYPERLINK("https://klasma.github.io/Logging_0139/klagomål/A 2409-2026 FSC-klagomål.docx", "A 2409-2026")</f>
        <v/>
      </c>
      <c r="W13">
        <f>HYPERLINK("https://klasma.github.io/Logging_0139/klagomålsmail/A 2409-2026 FSC-klagomål mail.docx", "A 2409-2026")</f>
        <v/>
      </c>
      <c r="X13">
        <f>HYPERLINK("https://klasma.github.io/Logging_0139/tillsyn/A 2409-2026 tillsynsbegäran.docx", "A 2409-2026")</f>
        <v/>
      </c>
      <c r="Y13">
        <f>HYPERLINK("https://klasma.github.io/Logging_0139/tillsynsmail/A 2409-2026 tillsynsbegäran mail.docx", "A 2409-2026")</f>
        <v/>
      </c>
      <c r="Z13">
        <f>HYPERLINK("https://klasma.github.io/Logging_0139/fåglar/A 2409-2026 prioriterade fågelarter.docx", "A 2409-2026")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46184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46184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46184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46184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46184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46184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46184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46184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46184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46184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46184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46184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46184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46184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46184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46184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31370-2021</t>
        </is>
      </c>
      <c r="B30" s="1" t="n">
        <v>44368</v>
      </c>
      <c r="C30" s="1" t="n">
        <v>46184</v>
      </c>
      <c r="D30" t="inlineStr">
        <is>
          <t>STOCKHOLMS LÄN</t>
        </is>
      </c>
      <c r="E30" t="inlineStr">
        <is>
          <t>UPPLANDS-BRO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46184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46184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46184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7112-2025</t>
        </is>
      </c>
      <c r="B34" s="1" t="n">
        <v>45701</v>
      </c>
      <c r="C34" s="1" t="n">
        <v>46184</v>
      </c>
      <c r="D34" t="inlineStr">
        <is>
          <t>STOCKHOLMS LÄN</t>
        </is>
      </c>
      <c r="E34" t="inlineStr">
        <is>
          <t>UPPLANDS-BRO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46184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46184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2062-2025</t>
        </is>
      </c>
      <c r="B37" s="1" t="n">
        <v>45671</v>
      </c>
      <c r="C37" s="1" t="n">
        <v>46184</v>
      </c>
      <c r="D37" t="inlineStr">
        <is>
          <t>STOCKHOLMS LÄN</t>
        </is>
      </c>
      <c r="E37" t="inlineStr">
        <is>
          <t>UPPLANDS-BRO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46184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23627-2025</t>
        </is>
      </c>
      <c r="B39" s="1" t="n">
        <v>45792.67523148148</v>
      </c>
      <c r="C39" s="1" t="n">
        <v>46184</v>
      </c>
      <c r="D39" t="inlineStr">
        <is>
          <t>STOCKHOLMS LÄN</t>
        </is>
      </c>
      <c r="E39" t="inlineStr">
        <is>
          <t>UPPLANDS-BRO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46184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3630-2023</t>
        </is>
      </c>
      <c r="B41" s="1" t="n">
        <v>44950</v>
      </c>
      <c r="C41" s="1" t="n">
        <v>46184</v>
      </c>
      <c r="D41" t="inlineStr">
        <is>
          <t>STOCKHOLMS LÄN</t>
        </is>
      </c>
      <c r="E41" t="inlineStr">
        <is>
          <t>UPPLANDS-BRO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23093-2024</t>
        </is>
      </c>
      <c r="B42" s="1" t="n">
        <v>45450</v>
      </c>
      <c r="C42" s="1" t="n">
        <v>46184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54222-2023</t>
        </is>
      </c>
      <c r="B43" s="1" t="n">
        <v>45225</v>
      </c>
      <c r="C43" s="1" t="n">
        <v>46184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7860-2024</t>
        </is>
      </c>
      <c r="B44" s="1" t="n">
        <v>45348</v>
      </c>
      <c r="C44" s="1" t="n">
        <v>46184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46184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64114-2023</t>
        </is>
      </c>
      <c r="B46" s="1" t="n">
        <v>45279</v>
      </c>
      <c r="C46" s="1" t="n">
        <v>46184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46184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46184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46184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46184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2046-2026</t>
        </is>
      </c>
      <c r="B51" s="1" t="n">
        <v>46031</v>
      </c>
      <c r="C51" s="1" t="n">
        <v>46184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3754-2026</t>
        </is>
      </c>
      <c r="B52" s="1" t="n">
        <v>46043</v>
      </c>
      <c r="C52" s="1" t="n">
        <v>46184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64110-2023</t>
        </is>
      </c>
      <c r="B53" s="1" t="n">
        <v>45279</v>
      </c>
      <c r="C53" s="1" t="n">
        <v>46184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23098-2024</t>
        </is>
      </c>
      <c r="B54" s="1" t="n">
        <v>45450</v>
      </c>
      <c r="C54" s="1" t="n">
        <v>46184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9655-2026</t>
        </is>
      </c>
      <c r="B55" s="1" t="n">
        <v>46070</v>
      </c>
      <c r="C55" s="1" t="n">
        <v>46184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46184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46438-2023</t>
        </is>
      </c>
      <c r="B57" s="1" t="n">
        <v>45197</v>
      </c>
      <c r="C57" s="1" t="n">
        <v>46184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59402-2022</t>
        </is>
      </c>
      <c r="B58" s="1" t="n">
        <v>44906</v>
      </c>
      <c r="C58" s="1" t="n">
        <v>46184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5264-2023</t>
        </is>
      </c>
      <c r="B59" s="1" t="n">
        <v>44959</v>
      </c>
      <c r="C59" s="1" t="n">
        <v>46184</v>
      </c>
      <c r="D59" t="inlineStr">
        <is>
          <t>STOCKHOLMS LÄN</t>
        </is>
      </c>
      <c r="E59" t="inlineStr">
        <is>
          <t>UPPLANDS-BRO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46184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72524-2021</t>
        </is>
      </c>
      <c r="B61" s="1" t="n">
        <v>44546</v>
      </c>
      <c r="C61" s="1" t="n">
        <v>46184</v>
      </c>
      <c r="D61" t="inlineStr">
        <is>
          <t>STOCKHOLMS LÄN</t>
        </is>
      </c>
      <c r="E61" t="inlineStr">
        <is>
          <t>UPPLANDS-BRO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18778-2026</t>
        </is>
      </c>
      <c r="B62" s="1" t="n">
        <v>46128</v>
      </c>
      <c r="C62" s="1" t="n">
        <v>46184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18813-2026</t>
        </is>
      </c>
      <c r="B63" s="1" t="n">
        <v>46128</v>
      </c>
      <c r="C63" s="1" t="n">
        <v>46184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18818-2026</t>
        </is>
      </c>
      <c r="B64" s="1" t="n">
        <v>46128</v>
      </c>
      <c r="C64" s="1" t="n">
        <v>46184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18787-2026</t>
        </is>
      </c>
      <c r="B65" s="1" t="n">
        <v>46128</v>
      </c>
      <c r="C65" s="1" t="n">
        <v>46184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24579-2026</t>
        </is>
      </c>
      <c r="B66" s="1" t="n">
        <v>46170.6503125</v>
      </c>
      <c r="C66" s="1" t="n">
        <v>46184</v>
      </c>
      <c r="D66" t="inlineStr">
        <is>
          <t>STOCKHOLMS LÄN</t>
        </is>
      </c>
      <c r="E66" t="inlineStr">
        <is>
          <t>UPPLANDS-BRO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4338-2023</t>
        </is>
      </c>
      <c r="B67" s="1" t="n">
        <v>44953</v>
      </c>
      <c r="C67" s="1" t="n">
        <v>46184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21206-2026</t>
        </is>
      </c>
      <c r="B68" s="1" t="n">
        <v>46146</v>
      </c>
      <c r="C68" s="1" t="n">
        <v>46184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21208-2026</t>
        </is>
      </c>
      <c r="B69" s="1" t="n">
        <v>46146</v>
      </c>
      <c r="C69" s="1" t="n">
        <v>46184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59848-2022</t>
        </is>
      </c>
      <c r="B70" s="1" t="n">
        <v>44901</v>
      </c>
      <c r="C70" s="1" t="n">
        <v>46184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3596-2026</t>
        </is>
      </c>
      <c r="B71" s="1" t="n">
        <v>46042</v>
      </c>
      <c r="C71" s="1" t="n">
        <v>46184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46184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58598-2025</t>
        </is>
      </c>
      <c r="B73" s="1" t="n">
        <v>45986</v>
      </c>
      <c r="C73" s="1" t="n">
        <v>46184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46184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26196-2026</t>
        </is>
      </c>
      <c r="B75" s="1" t="n">
        <v>46182.38002314815</v>
      </c>
      <c r="C75" s="1" t="n">
        <v>46184</v>
      </c>
      <c r="D75" t="inlineStr">
        <is>
          <t>STOCKHOLMS LÄN</t>
        </is>
      </c>
      <c r="E75" t="inlineStr">
        <is>
          <t>UPPLANDS-BRO</t>
        </is>
      </c>
      <c r="G75" t="n">
        <v>53.1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7275-2022</t>
        </is>
      </c>
      <c r="B76" s="1" t="n">
        <v>44606</v>
      </c>
      <c r="C76" s="1" t="n">
        <v>46184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64107-2023</t>
        </is>
      </c>
      <c r="B77" s="1" t="n">
        <v>45279</v>
      </c>
      <c r="C77" s="1" t="n">
        <v>46184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2026-06-11T09:25:57Z</dcterms:created>
  <dcterms:modified xmlns:dcterms="http://purl.org/dc/terms/" xmlns:xsi="http://www.w3.org/2001/XMLSchema-instance" xsi:type="dcterms:W3CDTF">2026-06-11T09:25:57Z</dcterms:modified>
</cp:coreProperties>
</file>