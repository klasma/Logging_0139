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45690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45690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45690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45690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45690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45690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45690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59732-2021</t>
        </is>
      </c>
      <c r="B9" s="1" t="n">
        <v>44494</v>
      </c>
      <c r="C9" s="1" t="n">
        <v>45690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Ängsskära
Gullviva</t>
        </is>
      </c>
      <c r="S9">
        <f>HYPERLINK("https://klasma.github.io/Logging_0139/artfynd/A 59732-2021 artfynd.xlsx", "A 59732-2021")</f>
        <v/>
      </c>
      <c r="T9">
        <f>HYPERLINK("https://klasma.github.io/Logging_0139/kartor/A 59732-2021 karta.png", "A 59732-2021")</f>
        <v/>
      </c>
      <c r="V9">
        <f>HYPERLINK("https://klasma.github.io/Logging_0139/klagomål/A 59732-2021 FSC-klagomål.docx", "A 59732-2021")</f>
        <v/>
      </c>
      <c r="W9">
        <f>HYPERLINK("https://klasma.github.io/Logging_0139/klagomålsmail/A 59732-2021 FSC-klagomål mail.docx", "A 59732-2021")</f>
        <v/>
      </c>
      <c r="X9">
        <f>HYPERLINK("https://klasma.github.io/Logging_0139/tillsyn/A 59732-2021 tillsynsbegäran.docx", "A 59732-2021")</f>
        <v/>
      </c>
      <c r="Y9">
        <f>HYPERLINK("https://klasma.github.io/Logging_0139/tillsynsmail/A 59732-2021 tillsynsbegäran mail.docx", "A 59732-2021")</f>
        <v/>
      </c>
    </row>
    <row r="10" ht="15" customHeight="1">
      <c r="A10" t="inlineStr">
        <is>
          <t>A 47329-2020</t>
        </is>
      </c>
      <c r="B10" s="1" t="n">
        <v>44097</v>
      </c>
      <c r="C10" s="1" t="n">
        <v>45690</v>
      </c>
      <c r="D10" t="inlineStr">
        <is>
          <t>STOCKHOLMS LÄN</t>
        </is>
      </c>
      <c r="E10" t="inlineStr">
        <is>
          <t>UPPLANDS-BRO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47329-2020 artfynd.xlsx", "A 47329-2020")</f>
        <v/>
      </c>
      <c r="T10">
        <f>HYPERLINK("https://klasma.github.io/Logging_0139/kartor/A 47329-2020 karta.png", "A 47329-2020")</f>
        <v/>
      </c>
      <c r="V10">
        <f>HYPERLINK("https://klasma.github.io/Logging_0139/klagomål/A 47329-2020 FSC-klagomål.docx", "A 47329-2020")</f>
        <v/>
      </c>
      <c r="W10">
        <f>HYPERLINK("https://klasma.github.io/Logging_0139/klagomålsmail/A 47329-2020 FSC-klagomål mail.docx", "A 47329-2020")</f>
        <v/>
      </c>
      <c r="X10">
        <f>HYPERLINK("https://klasma.github.io/Logging_0139/tillsyn/A 47329-2020 tillsynsbegäran.docx", "A 47329-2020")</f>
        <v/>
      </c>
      <c r="Y10">
        <f>HYPERLINK("https://klasma.github.io/Logging_0139/tillsynsmail/A 47329-2020 tillsynsbegäran mail.docx", "A 47329-2020")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45690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73787-2021</t>
        </is>
      </c>
      <c r="B12" s="1" t="n">
        <v>44552</v>
      </c>
      <c r="C12" s="1" t="n">
        <v>45690</v>
      </c>
      <c r="D12" t="inlineStr">
        <is>
          <t>STOCKHOLMS LÄN</t>
        </is>
      </c>
      <c r="E12" t="inlineStr">
        <is>
          <t>UPPLANDS-BRO</t>
        </is>
      </c>
      <c r="G12" t="n">
        <v>4.6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HYPERLINK("https://klasma.github.io/Logging_0139/artfynd/A 73787-2021 artfynd.xlsx", "A 73787-2021")</f>
        <v/>
      </c>
      <c r="T12">
        <f>HYPERLINK("https://klasma.github.io/Logging_0139/kartor/A 73787-2021 karta.png", "A 73787-2021")</f>
        <v/>
      </c>
      <c r="V12">
        <f>HYPERLINK("https://klasma.github.io/Logging_0139/klagomål/A 73787-2021 FSC-klagomål.docx", "A 73787-2021")</f>
        <v/>
      </c>
      <c r="W12">
        <f>HYPERLINK("https://klasma.github.io/Logging_0139/klagomålsmail/A 73787-2021 FSC-klagomål mail.docx", "A 73787-2021")</f>
        <v/>
      </c>
      <c r="X12">
        <f>HYPERLINK("https://klasma.github.io/Logging_0139/tillsyn/A 73787-2021 tillsynsbegäran.docx", "A 73787-2021")</f>
        <v/>
      </c>
      <c r="Y12">
        <f>HYPERLINK("https://klasma.github.io/Logging_0139/tillsynsmail/A 73787-2021 tillsynsbegäran mail.docx", "A 73787-2021")</f>
        <v/>
      </c>
    </row>
    <row r="13" ht="15" customHeight="1">
      <c r="A13" t="inlineStr">
        <is>
          <t>A 7285-2022</t>
        </is>
      </c>
      <c r="B13" s="1" t="n">
        <v>44606</v>
      </c>
      <c r="C13" s="1" t="n">
        <v>45690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22.6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HYPERLINK("https://klasma.github.io/Logging_0139/artfynd/A 7285-2022 artfynd.xlsx", "A 7285-2022")</f>
        <v/>
      </c>
      <c r="T13">
        <f>HYPERLINK("https://klasma.github.io/Logging_0139/kartor/A 7285-2022 karta.png", "A 7285-2022")</f>
        <v/>
      </c>
      <c r="V13">
        <f>HYPERLINK("https://klasma.github.io/Logging_0139/klagomål/A 7285-2022 FSC-klagomål.docx", "A 7285-2022")</f>
        <v/>
      </c>
      <c r="W13">
        <f>HYPERLINK("https://klasma.github.io/Logging_0139/klagomålsmail/A 7285-2022 FSC-klagomål mail.docx", "A 7285-2022")</f>
        <v/>
      </c>
      <c r="X13">
        <f>HYPERLINK("https://klasma.github.io/Logging_0139/tillsyn/A 7285-2022 tillsynsbegäran.docx", "A 7285-2022")</f>
        <v/>
      </c>
      <c r="Y13">
        <f>HYPERLINK("https://klasma.github.io/Logging_0139/tillsynsmail/A 7285-2022 tillsynsbegäran mail.docx", "A 7285-2022")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45690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45690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45690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28817-2024</t>
        </is>
      </c>
      <c r="B17" s="1" t="n">
        <v>45478</v>
      </c>
      <c r="C17" s="1" t="n">
        <v>45690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HYPERLINK("https://klasma.github.io/Logging_0139/artfynd/A 28817-2024 artfynd.xlsx", "A 28817-2024")</f>
        <v/>
      </c>
      <c r="T17">
        <f>HYPERLINK("https://klasma.github.io/Logging_0139/kartor/A 28817-2024 karta.png", "A 28817-2024")</f>
        <v/>
      </c>
      <c r="V17">
        <f>HYPERLINK("https://klasma.github.io/Logging_0139/klagomål/A 28817-2024 FSC-klagomål.docx", "A 28817-2024")</f>
        <v/>
      </c>
      <c r="W17">
        <f>HYPERLINK("https://klasma.github.io/Logging_0139/klagomålsmail/A 28817-2024 FSC-klagomål mail.docx", "A 28817-2024")</f>
        <v/>
      </c>
      <c r="X17">
        <f>HYPERLINK("https://klasma.github.io/Logging_0139/tillsyn/A 28817-2024 tillsynsbegäran.docx", "A 28817-2024")</f>
        <v/>
      </c>
      <c r="Y17">
        <f>HYPERLINK("https://klasma.github.io/Logging_0139/tillsynsmail/A 28817-2024 tillsynsbegäran mail.docx", "A 28817-2024")</f>
        <v/>
      </c>
    </row>
    <row r="18" ht="15" customHeight="1">
      <c r="A18" t="inlineStr">
        <is>
          <t>A 30721-2024</t>
        </is>
      </c>
      <c r="B18" s="1" t="n">
        <v>45496</v>
      </c>
      <c r="C18" s="1" t="n">
        <v>45690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Persiljespindling</t>
        </is>
      </c>
      <c r="S18">
        <f>HYPERLINK("https://klasma.github.io/Logging_0139/artfynd/A 30721-2024 artfynd.xlsx", "A 30721-2024")</f>
        <v/>
      </c>
      <c r="T18">
        <f>HYPERLINK("https://klasma.github.io/Logging_0139/kartor/A 30721-2024 karta.png", "A 30721-2024")</f>
        <v/>
      </c>
      <c r="V18">
        <f>HYPERLINK("https://klasma.github.io/Logging_0139/klagomål/A 30721-2024 FSC-klagomål.docx", "A 30721-2024")</f>
        <v/>
      </c>
      <c r="W18">
        <f>HYPERLINK("https://klasma.github.io/Logging_0139/klagomålsmail/A 30721-2024 FSC-klagomål mail.docx", "A 30721-2024")</f>
        <v/>
      </c>
      <c r="X18">
        <f>HYPERLINK("https://klasma.github.io/Logging_0139/tillsyn/A 30721-2024 tillsynsbegäran.docx", "A 30721-2024")</f>
        <v/>
      </c>
      <c r="Y18">
        <f>HYPERLINK("https://klasma.github.io/Logging_0139/tillsynsmail/A 30721-2024 tillsynsbegäran mail.docx", "A 30721-2024")</f>
        <v/>
      </c>
    </row>
    <row r="19" ht="15" customHeight="1">
      <c r="A19" t="inlineStr">
        <is>
          <t>A 39752-2024</t>
        </is>
      </c>
      <c r="B19" s="1" t="n">
        <v>45552</v>
      </c>
      <c r="C19" s="1" t="n">
        <v>45690</v>
      </c>
      <c r="D19" t="inlineStr">
        <is>
          <t>STOCKHOLMS LÄN</t>
        </is>
      </c>
      <c r="E19" t="inlineStr">
        <is>
          <t>UPPLANDS-BRO</t>
        </is>
      </c>
      <c r="G19" t="n">
        <v>7.2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HYPERLINK("https://klasma.github.io/Logging_0139/artfynd/A 39752-2024 artfynd.xlsx", "A 39752-2024")</f>
        <v/>
      </c>
      <c r="T19">
        <f>HYPERLINK("https://klasma.github.io/Logging_0139/kartor/A 39752-2024 karta.png", "A 39752-2024")</f>
        <v/>
      </c>
      <c r="V19">
        <f>HYPERLINK("https://klasma.github.io/Logging_0139/klagomål/A 39752-2024 FSC-klagomål.docx", "A 39752-2024")</f>
        <v/>
      </c>
      <c r="W19">
        <f>HYPERLINK("https://klasma.github.io/Logging_0139/klagomålsmail/A 39752-2024 FSC-klagomål mail.docx", "A 39752-2024")</f>
        <v/>
      </c>
      <c r="X19">
        <f>HYPERLINK("https://klasma.github.io/Logging_0139/tillsyn/A 39752-2024 tillsynsbegäran.docx", "A 39752-2024")</f>
        <v/>
      </c>
      <c r="Y19">
        <f>HYPERLINK("https://klasma.github.io/Logging_0139/tillsynsmail/A 39752-2024 tillsynsbegäran mail.docx", "A 39752-2024")</f>
        <v/>
      </c>
      <c r="Z19">
        <f>HYPERLINK("https://klasma.github.io/Logging_0139/fåglar/A 39752-2024 prioriterade fågelarter.docx", "A 39752-2024")</f>
        <v/>
      </c>
    </row>
    <row r="20" ht="15" customHeight="1">
      <c r="A20" t="inlineStr">
        <is>
          <t>A 28481-2019</t>
        </is>
      </c>
      <c r="B20" s="1" t="n">
        <v>43614</v>
      </c>
      <c r="C20" s="1" t="n">
        <v>45690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33732-2019</t>
        </is>
      </c>
      <c r="B21" s="1" t="n">
        <v>43644</v>
      </c>
      <c r="C21" s="1" t="n">
        <v>45690</v>
      </c>
      <c r="D21" t="inlineStr">
        <is>
          <t>STOCKHOLMS LÄN</t>
        </is>
      </c>
      <c r="E21" t="inlineStr">
        <is>
          <t>UPPLANDS-BRO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35187-2019</t>
        </is>
      </c>
      <c r="B22" s="1" t="n">
        <v>43661</v>
      </c>
      <c r="C22" s="1" t="n">
        <v>45690</v>
      </c>
      <c r="D22" t="inlineStr">
        <is>
          <t>STOCKHOLMS LÄN</t>
        </is>
      </c>
      <c r="E22" t="inlineStr">
        <is>
          <t>UPPLANDS-BRO</t>
        </is>
      </c>
      <c r="F22" t="inlineStr">
        <is>
          <t>Allmännings- och besparingsskogar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36722-2019</t>
        </is>
      </c>
      <c r="B23" s="1" t="n">
        <v>43671</v>
      </c>
      <c r="C23" s="1" t="n">
        <v>45690</v>
      </c>
      <c r="D23" t="inlineStr">
        <is>
          <t>STOCKHOLMS LÄN</t>
        </is>
      </c>
      <c r="E23" t="inlineStr">
        <is>
          <t>UPPLANDS-BRO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36725-2019</t>
        </is>
      </c>
      <c r="B24" s="1" t="n">
        <v>43671</v>
      </c>
      <c r="C24" s="1" t="n">
        <v>45690</v>
      </c>
      <c r="D24" t="inlineStr">
        <is>
          <t>STOCKHOLMS LÄN</t>
        </is>
      </c>
      <c r="E24" t="inlineStr">
        <is>
          <t>UPPLANDS-BRO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36728-2019</t>
        </is>
      </c>
      <c r="B25" s="1" t="n">
        <v>43671</v>
      </c>
      <c r="C25" s="1" t="n">
        <v>45690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39472-2019</t>
        </is>
      </c>
      <c r="B26" s="1" t="n">
        <v>43691</v>
      </c>
      <c r="C26" s="1" t="n">
        <v>45690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63370-2019</t>
        </is>
      </c>
      <c r="B27" s="1" t="n">
        <v>43794</v>
      </c>
      <c r="C27" s="1" t="n">
        <v>45690</v>
      </c>
      <c r="D27" t="inlineStr">
        <is>
          <t>STOCKHOLMS LÄN</t>
        </is>
      </c>
      <c r="E27" t="inlineStr">
        <is>
          <t>UPPLANDS-BRO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63745-2019</t>
        </is>
      </c>
      <c r="B28" s="1" t="n">
        <v>43795</v>
      </c>
      <c r="C28" s="1" t="n">
        <v>45690</v>
      </c>
      <c r="D28" t="inlineStr">
        <is>
          <t>STOCKHOLMS LÄN</t>
        </is>
      </c>
      <c r="E28" t="inlineStr">
        <is>
          <t>UPPLANDS-BRO</t>
        </is>
      </c>
      <c r="F28" t="inlineStr">
        <is>
          <t>Övriga statliga verk och myndigheter</t>
        </is>
      </c>
      <c r="G28" t="n">
        <v>12.9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65405-2019</t>
        </is>
      </c>
      <c r="B29" s="1" t="n">
        <v>43798</v>
      </c>
      <c r="C29" s="1" t="n">
        <v>45690</v>
      </c>
      <c r="D29" t="inlineStr">
        <is>
          <t>STOCKHOLMS LÄN</t>
        </is>
      </c>
      <c r="E29" t="inlineStr">
        <is>
          <t>UPPLANDS-BRO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68236-2019</t>
        </is>
      </c>
      <c r="B30" s="1" t="n">
        <v>43817</v>
      </c>
      <c r="C30" s="1" t="n">
        <v>45690</v>
      </c>
      <c r="D30" t="inlineStr">
        <is>
          <t>STOCKHOLMS LÄN</t>
        </is>
      </c>
      <c r="E30" t="inlineStr">
        <is>
          <t>UPPLANDS-BRO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6370-2020</t>
        </is>
      </c>
      <c r="B31" s="1" t="n">
        <v>43866</v>
      </c>
      <c r="C31" s="1" t="n">
        <v>45690</v>
      </c>
      <c r="D31" t="inlineStr">
        <is>
          <t>STOCKHOLMS LÄN</t>
        </is>
      </c>
      <c r="E31" t="inlineStr">
        <is>
          <t>UPPLANDS-BRO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6357-2020</t>
        </is>
      </c>
      <c r="B32" s="1" t="n">
        <v>43866</v>
      </c>
      <c r="C32" s="1" t="n">
        <v>45690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31196-2020</t>
        </is>
      </c>
      <c r="B33" s="1" t="n">
        <v>44012</v>
      </c>
      <c r="C33" s="1" t="n">
        <v>45690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36248-2020</t>
        </is>
      </c>
      <c r="B34" s="1" t="n">
        <v>44049</v>
      </c>
      <c r="C34" s="1" t="n">
        <v>45690</v>
      </c>
      <c r="D34" t="inlineStr">
        <is>
          <t>STOCKHOLMS LÄN</t>
        </is>
      </c>
      <c r="E34" t="inlineStr">
        <is>
          <t>UPPLANDS-BRO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49686-2020</t>
        </is>
      </c>
      <c r="B35" s="1" t="n">
        <v>44106</v>
      </c>
      <c r="C35" s="1" t="n">
        <v>45690</v>
      </c>
      <c r="D35" t="inlineStr">
        <is>
          <t>STOCKHOLMS LÄN</t>
        </is>
      </c>
      <c r="E35" t="inlineStr">
        <is>
          <t>UPPLANDS-BRO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50698-2020</t>
        </is>
      </c>
      <c r="B36" s="1" t="n">
        <v>44111</v>
      </c>
      <c r="C36" s="1" t="n">
        <v>45690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55541-2020</t>
        </is>
      </c>
      <c r="B37" s="1" t="n">
        <v>44131</v>
      </c>
      <c r="C37" s="1" t="n">
        <v>45690</v>
      </c>
      <c r="D37" t="inlineStr">
        <is>
          <t>STOCKHOLMS LÄN</t>
        </is>
      </c>
      <c r="E37" t="inlineStr">
        <is>
          <t>UPPLANDS-BRO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64015-2020</t>
        </is>
      </c>
      <c r="B38" s="1" t="n">
        <v>44167</v>
      </c>
      <c r="C38" s="1" t="n">
        <v>45690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65954-2020</t>
        </is>
      </c>
      <c r="B39" s="1" t="n">
        <v>44175</v>
      </c>
      <c r="C39" s="1" t="n">
        <v>45690</v>
      </c>
      <c r="D39" t="inlineStr">
        <is>
          <t>STOCKHOLMS LÄN</t>
        </is>
      </c>
      <c r="E39" t="inlineStr">
        <is>
          <t>UPPLANDS-BRO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66949-2020</t>
        </is>
      </c>
      <c r="B40" s="1" t="n">
        <v>44180</v>
      </c>
      <c r="C40" s="1" t="n">
        <v>45690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66926-2020</t>
        </is>
      </c>
      <c r="B41" s="1" t="n">
        <v>44180</v>
      </c>
      <c r="C41" s="1" t="n">
        <v>45690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66960-2020</t>
        </is>
      </c>
      <c r="B42" s="1" t="n">
        <v>44180</v>
      </c>
      <c r="C42" s="1" t="n">
        <v>45690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67286-2020</t>
        </is>
      </c>
      <c r="B43" s="1" t="n">
        <v>44181</v>
      </c>
      <c r="C43" s="1" t="n">
        <v>45690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67275-2020</t>
        </is>
      </c>
      <c r="B44" s="1" t="n">
        <v>44181</v>
      </c>
      <c r="C44" s="1" t="n">
        <v>45690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14894-2021</t>
        </is>
      </c>
      <c r="B45" s="1" t="n">
        <v>44281</v>
      </c>
      <c r="C45" s="1" t="n">
        <v>45690</v>
      </c>
      <c r="D45" t="inlineStr">
        <is>
          <t>STOCKHOLMS LÄN</t>
        </is>
      </c>
      <c r="E45" t="inlineStr">
        <is>
          <t>UPPLANDS-BRO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14897-2021</t>
        </is>
      </c>
      <c r="B46" s="1" t="n">
        <v>44281</v>
      </c>
      <c r="C46" s="1" t="n">
        <v>45690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18760-2021</t>
        </is>
      </c>
      <c r="B47" s="1" t="n">
        <v>44307</v>
      </c>
      <c r="C47" s="1" t="n">
        <v>45690</v>
      </c>
      <c r="D47" t="inlineStr">
        <is>
          <t>STOCKHOLMS LÄN</t>
        </is>
      </c>
      <c r="E47" t="inlineStr">
        <is>
          <t>UPPLANDS-BRO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45690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24308-2021</t>
        </is>
      </c>
      <c r="B49" s="1" t="n">
        <v>44336</v>
      </c>
      <c r="C49" s="1" t="n">
        <v>45690</v>
      </c>
      <c r="D49" t="inlineStr">
        <is>
          <t>STOCKHOLMS LÄN</t>
        </is>
      </c>
      <c r="E49" t="inlineStr">
        <is>
          <t>UPPLANDS-BRO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27805-2021</t>
        </is>
      </c>
      <c r="B50" s="1" t="n">
        <v>44354</v>
      </c>
      <c r="C50" s="1" t="n">
        <v>45690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31370-2021</t>
        </is>
      </c>
      <c r="B51" s="1" t="n">
        <v>44368</v>
      </c>
      <c r="C51" s="1" t="n">
        <v>45690</v>
      </c>
      <c r="D51" t="inlineStr">
        <is>
          <t>STOCKHOLMS LÄN</t>
        </is>
      </c>
      <c r="E51" t="inlineStr">
        <is>
          <t>UPPLANDS-BRO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36111-2021</t>
        </is>
      </c>
      <c r="B52" s="1" t="n">
        <v>44389</v>
      </c>
      <c r="C52" s="1" t="n">
        <v>45690</v>
      </c>
      <c r="D52" t="inlineStr">
        <is>
          <t>STOCKHOLMS LÄN</t>
        </is>
      </c>
      <c r="E52" t="inlineStr">
        <is>
          <t>UPPLANDS-BRO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37335-2021</t>
        </is>
      </c>
      <c r="B53" s="1" t="n">
        <v>44397</v>
      </c>
      <c r="C53" s="1" t="n">
        <v>45690</v>
      </c>
      <c r="D53" t="inlineStr">
        <is>
          <t>STOCKHOLMS LÄN</t>
        </is>
      </c>
      <c r="E53" t="inlineStr">
        <is>
          <t>UPPLANDS-BRO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37421-2021</t>
        </is>
      </c>
      <c r="B54" s="1" t="n">
        <v>44397</v>
      </c>
      <c r="C54" s="1" t="n">
        <v>45690</v>
      </c>
      <c r="D54" t="inlineStr">
        <is>
          <t>STOCKHOLMS LÄN</t>
        </is>
      </c>
      <c r="E54" t="inlineStr">
        <is>
          <t>UPPLANDS-BRO</t>
        </is>
      </c>
      <c r="F54" t="inlineStr">
        <is>
          <t>Allmännings- och besparingsskogar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40514-2021</t>
        </is>
      </c>
      <c r="B55" s="1" t="n">
        <v>44420</v>
      </c>
      <c r="C55" s="1" t="n">
        <v>45690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40510-2021</t>
        </is>
      </c>
      <c r="B56" s="1" t="n">
        <v>44420</v>
      </c>
      <c r="C56" s="1" t="n">
        <v>45690</v>
      </c>
      <c r="D56" t="inlineStr">
        <is>
          <t>STOCKHOLMS LÄN</t>
        </is>
      </c>
      <c r="E56" t="inlineStr">
        <is>
          <t>UPPLANDS-BRO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41465-2021</t>
        </is>
      </c>
      <c r="B57" s="1" t="n">
        <v>44424</v>
      </c>
      <c r="C57" s="1" t="n">
        <v>45690</v>
      </c>
      <c r="D57" t="inlineStr">
        <is>
          <t>STOCKHOLMS LÄN</t>
        </is>
      </c>
      <c r="E57" t="inlineStr">
        <is>
          <t>UPPLANDS-BRO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41463-2021</t>
        </is>
      </c>
      <c r="B58" s="1" t="n">
        <v>44424</v>
      </c>
      <c r="C58" s="1" t="n">
        <v>45690</v>
      </c>
      <c r="D58" t="inlineStr">
        <is>
          <t>STOCKHOLMS LÄN</t>
        </is>
      </c>
      <c r="E58" t="inlineStr">
        <is>
          <t>UPPLANDS-BRO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46244-2021</t>
        </is>
      </c>
      <c r="B59" s="1" t="n">
        <v>44442</v>
      </c>
      <c r="C59" s="1" t="n">
        <v>45690</v>
      </c>
      <c r="D59" t="inlineStr">
        <is>
          <t>STOCKHOLMS LÄN</t>
        </is>
      </c>
      <c r="E59" t="inlineStr">
        <is>
          <t>UPPLANDS-BRO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49622-2021</t>
        </is>
      </c>
      <c r="B60" s="1" t="n">
        <v>44455</v>
      </c>
      <c r="C60" s="1" t="n">
        <v>45690</v>
      </c>
      <c r="D60" t="inlineStr">
        <is>
          <t>STOCKHOLMS LÄN</t>
        </is>
      </c>
      <c r="E60" t="inlineStr">
        <is>
          <t>UPPLANDS-BRO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56756-2021</t>
        </is>
      </c>
      <c r="B61" s="1" t="n">
        <v>44481</v>
      </c>
      <c r="C61" s="1" t="n">
        <v>45690</v>
      </c>
      <c r="D61" t="inlineStr">
        <is>
          <t>STOCKHOLMS LÄN</t>
        </is>
      </c>
      <c r="E61" t="inlineStr">
        <is>
          <t>UPPLANDS-BRO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57993-2021</t>
        </is>
      </c>
      <c r="B62" s="1" t="n">
        <v>44487</v>
      </c>
      <c r="C62" s="1" t="n">
        <v>45690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58011-2021</t>
        </is>
      </c>
      <c r="B63" s="1" t="n">
        <v>44487</v>
      </c>
      <c r="C63" s="1" t="n">
        <v>45690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58669-2021</t>
        </is>
      </c>
      <c r="B64" s="1" t="n">
        <v>44489</v>
      </c>
      <c r="C64" s="1" t="n">
        <v>45690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58663-2021</t>
        </is>
      </c>
      <c r="B65" s="1" t="n">
        <v>44489</v>
      </c>
      <c r="C65" s="1" t="n">
        <v>45690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45690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45690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45690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45690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45690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45690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45690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45690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45690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45690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45690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45690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45690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45690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45690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45690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45690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45690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45690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45690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45690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45690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45690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45690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45690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45690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45690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45690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45690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45690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45690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45690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45690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45690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45690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45690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45690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45690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45690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45690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45690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45690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45690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45690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45690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45690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45690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45690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45690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45690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45690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45690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45690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45690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45690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45690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45690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45690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45690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45690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45690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45690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45690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45690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45690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45690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45690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45690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45690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38902-2024</t>
        </is>
      </c>
      <c r="B135" s="1" t="n">
        <v>45547</v>
      </c>
      <c r="C135" s="1" t="n">
        <v>45690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52700-2024</t>
        </is>
      </c>
      <c r="B136" s="1" t="n">
        <v>45610</v>
      </c>
      <c r="C136" s="1" t="n">
        <v>45690</v>
      </c>
      <c r="D136" t="inlineStr">
        <is>
          <t>STOCKHOLMS LÄN</t>
        </is>
      </c>
      <c r="E136" t="inlineStr">
        <is>
          <t>UPPLANDS-BRO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59377-2024</t>
        </is>
      </c>
      <c r="B137" s="1" t="n">
        <v>45638</v>
      </c>
      <c r="C137" s="1" t="n">
        <v>45690</v>
      </c>
      <c r="D137" t="inlineStr">
        <is>
          <t>STOCKHOLMS LÄN</t>
        </is>
      </c>
      <c r="E137" t="inlineStr">
        <is>
          <t>UPPLANDS-BRO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>
      <c r="A138" t="inlineStr">
        <is>
          <t>A 2062-2025</t>
        </is>
      </c>
      <c r="B138" s="1" t="n">
        <v>45671</v>
      </c>
      <c r="C138" s="1" t="n">
        <v>45690</v>
      </c>
      <c r="D138" t="inlineStr">
        <is>
          <t>STOCKHOLMS LÄN</t>
        </is>
      </c>
      <c r="E138" t="inlineStr">
        <is>
          <t>UPPLANDS-BRO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2025-02-02T16:40:06Z</dcterms:created>
  <dcterms:modified xmlns:dcterms="http://purl.org/dc/terms/" xmlns:xsi="http://www.w3.org/2001/XMLSchema-instance" xsi:type="dcterms:W3CDTF">2025-02-02T16:40:06Z</dcterms:modified>
</cp:coreProperties>
</file>