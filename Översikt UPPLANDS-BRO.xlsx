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46183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46183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64098-2023</t>
        </is>
      </c>
      <c r="B10" s="1" t="n">
        <v>45279</v>
      </c>
      <c r="C10" s="1" t="n">
        <v>46183</v>
      </c>
      <c r="D10" t="inlineStr">
        <is>
          <t>STOCKHOLMS LÄN</t>
        </is>
      </c>
      <c r="E10" t="inlineStr">
        <is>
          <t>UPPLANDS-BRO</t>
        </is>
      </c>
      <c r="G10" t="n">
        <v>0.3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Skogsalmsdvärgmal</t>
        </is>
      </c>
      <c r="S10">
        <f>HYPERLINK("https://klasma.github.io/Logging_0139/artfynd/A 64098-2023 artfynd.xlsx", "A 64098-2023")</f>
        <v/>
      </c>
      <c r="T10">
        <f>HYPERLINK("https://klasma.github.io/Logging_0139/kartor/A 64098-2023 karta.png", "A 64098-2023")</f>
        <v/>
      </c>
      <c r="V10">
        <f>HYPERLINK("https://klasma.github.io/Logging_0139/klagomål/A 64098-2023 FSC-klagomål.docx", "A 64098-2023")</f>
        <v/>
      </c>
      <c r="W10">
        <f>HYPERLINK("https://klasma.github.io/Logging_0139/klagomålsmail/A 64098-2023 FSC-klagomål mail.docx", "A 64098-2023")</f>
        <v/>
      </c>
      <c r="X10">
        <f>HYPERLINK("https://klasma.github.io/Logging_0139/tillsyn/A 64098-2023 tillsynsbegäran.docx", "A 64098-2023")</f>
        <v/>
      </c>
      <c r="Y10">
        <f>HYPERLINK("https://klasma.github.io/Logging_0139/tillsynsmail/A 64098-2023 tillsynsbegäran mail.docx", "A 64098-2023")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46183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46183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46183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46183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46183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46183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46183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7285-2022</t>
        </is>
      </c>
      <c r="B18" s="1" t="n">
        <v>44606</v>
      </c>
      <c r="C18" s="1" t="n">
        <v>46183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22.6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Koppartaggsvamp</t>
        </is>
      </c>
      <c r="S18">
        <f>HYPERLINK("https://klasma.github.io/Logging_0139/artfynd/A 7285-2022 artfynd.xlsx", "A 7285-2022")</f>
        <v/>
      </c>
      <c r="T18">
        <f>HYPERLINK("https://klasma.github.io/Logging_0139/kartor/A 7285-2022 karta.png", "A 7285-2022")</f>
        <v/>
      </c>
      <c r="V18">
        <f>HYPERLINK("https://klasma.github.io/Logging_0139/klagomål/A 7285-2022 FSC-klagomål.docx", "A 7285-2022")</f>
        <v/>
      </c>
      <c r="W18">
        <f>HYPERLINK("https://klasma.github.io/Logging_0139/klagomålsmail/A 7285-2022 FSC-klagomål mail.docx", "A 7285-2022")</f>
        <v/>
      </c>
      <c r="X18">
        <f>HYPERLINK("https://klasma.github.io/Logging_0139/tillsyn/A 7285-2022 tillsynsbegäran.docx", "A 7285-2022")</f>
        <v/>
      </c>
      <c r="Y18">
        <f>HYPERLINK("https://klasma.github.io/Logging_0139/tillsynsmail/A 7285-2022 tillsynsbegäran mail.docx", "A 7285-2022")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46183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46183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46183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46183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4338-2023</t>
        </is>
      </c>
      <c r="B31" s="1" t="n">
        <v>44953</v>
      </c>
      <c r="C31" s="1" t="n">
        <v>46183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58011-2021</t>
        </is>
      </c>
      <c r="B32" s="1" t="n">
        <v>44487</v>
      </c>
      <c r="C32" s="1" t="n">
        <v>46183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72524-2021</t>
        </is>
      </c>
      <c r="B33" s="1" t="n">
        <v>44546</v>
      </c>
      <c r="C33" s="1" t="n">
        <v>46183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7112-2025</t>
        </is>
      </c>
      <c r="B34" s="1" t="n">
        <v>45701</v>
      </c>
      <c r="C34" s="1" t="n">
        <v>46183</v>
      </c>
      <c r="D34" t="inlineStr">
        <is>
          <t>STOCKHOLMS LÄN</t>
        </is>
      </c>
      <c r="E34" t="inlineStr">
        <is>
          <t>UPPLANDS-BRO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64107-2023</t>
        </is>
      </c>
      <c r="B35" s="1" t="n">
        <v>45279</v>
      </c>
      <c r="C35" s="1" t="n">
        <v>46183</v>
      </c>
      <c r="D35" t="inlineStr">
        <is>
          <t>STOCKHOLMS LÄN</t>
        </is>
      </c>
      <c r="E35" t="inlineStr">
        <is>
          <t>UPPLANDS-BRO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46183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46183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46183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27313-2023</t>
        </is>
      </c>
      <c r="B39" s="1" t="n">
        <v>45096</v>
      </c>
      <c r="C39" s="1" t="n">
        <v>46183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59377-2024</t>
        </is>
      </c>
      <c r="B40" s="1" t="n">
        <v>45638.35164351852</v>
      </c>
      <c r="C40" s="1" t="n">
        <v>46183</v>
      </c>
      <c r="D40" t="inlineStr">
        <is>
          <t>STOCKHOLMS LÄN</t>
        </is>
      </c>
      <c r="E40" t="inlineStr">
        <is>
          <t>UPPLANDS-BRO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2062-2025</t>
        </is>
      </c>
      <c r="B41" s="1" t="n">
        <v>45671</v>
      </c>
      <c r="C41" s="1" t="n">
        <v>46183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23615-2025</t>
        </is>
      </c>
      <c r="B42" s="1" t="n">
        <v>45792.66532407407</v>
      </c>
      <c r="C42" s="1" t="n">
        <v>46183</v>
      </c>
      <c r="D42" t="inlineStr">
        <is>
          <t>STOCKHOLMS LÄN</t>
        </is>
      </c>
      <c r="E42" t="inlineStr">
        <is>
          <t>UPPLANDS-BRO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23627-2025</t>
        </is>
      </c>
      <c r="B43" s="1" t="n">
        <v>45792.67523148148</v>
      </c>
      <c r="C43" s="1" t="n">
        <v>46183</v>
      </c>
      <c r="D43" t="inlineStr">
        <is>
          <t>STOCKHOLMS LÄN</t>
        </is>
      </c>
      <c r="E43" t="inlineStr">
        <is>
          <t>UPPLANDS-BRO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55586-2023</t>
        </is>
      </c>
      <c r="B44" s="1" t="n">
        <v>45232</v>
      </c>
      <c r="C44" s="1" t="n">
        <v>46183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59700-2021</t>
        </is>
      </c>
      <c r="B45" s="1" t="n">
        <v>44494</v>
      </c>
      <c r="C45" s="1" t="n">
        <v>46183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38902-2024</t>
        </is>
      </c>
      <c r="B46" s="1" t="n">
        <v>45547</v>
      </c>
      <c r="C46" s="1" t="n">
        <v>46183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46183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46438-2023</t>
        </is>
      </c>
      <c r="B48" s="1" t="n">
        <v>45197</v>
      </c>
      <c r="C48" s="1" t="n">
        <v>46183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51587-2023</t>
        </is>
      </c>
      <c r="B49" s="1" t="n">
        <v>45215</v>
      </c>
      <c r="C49" s="1" t="n">
        <v>46183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5264-2023</t>
        </is>
      </c>
      <c r="B50" s="1" t="n">
        <v>44959</v>
      </c>
      <c r="C50" s="1" t="n">
        <v>46183</v>
      </c>
      <c r="D50" t="inlineStr">
        <is>
          <t>STOCKHOLMS LÄN</t>
        </is>
      </c>
      <c r="E50" t="inlineStr">
        <is>
          <t>UPPLANDS-BRO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12363-2025</t>
        </is>
      </c>
      <c r="B51" s="1" t="n">
        <v>45730.37431712963</v>
      </c>
      <c r="C51" s="1" t="n">
        <v>46183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59848-2022</t>
        </is>
      </c>
      <c r="B52" s="1" t="n">
        <v>44901</v>
      </c>
      <c r="C52" s="1" t="n">
        <v>46183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46183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46183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46183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46183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23098-2024</t>
        </is>
      </c>
      <c r="B57" s="1" t="n">
        <v>45450</v>
      </c>
      <c r="C57" s="1" t="n">
        <v>46183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7275-2022</t>
        </is>
      </c>
      <c r="B58" s="1" t="n">
        <v>44606</v>
      </c>
      <c r="C58" s="1" t="n">
        <v>46183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59844-2022</t>
        </is>
      </c>
      <c r="B59" s="1" t="n">
        <v>44901</v>
      </c>
      <c r="C59" s="1" t="n">
        <v>46183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2602-2024</t>
        </is>
      </c>
      <c r="B60" s="1" t="n">
        <v>45313.73068287037</v>
      </c>
      <c r="C60" s="1" t="n">
        <v>46183</v>
      </c>
      <c r="D60" t="inlineStr">
        <is>
          <t>STOCKHOLMS LÄN</t>
        </is>
      </c>
      <c r="E60" t="inlineStr">
        <is>
          <t>UPPLANDS-BRO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46183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59402-2022</t>
        </is>
      </c>
      <c r="B62" s="1" t="n">
        <v>44906</v>
      </c>
      <c r="C62" s="1" t="n">
        <v>46183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3630-2023</t>
        </is>
      </c>
      <c r="B63" s="1" t="n">
        <v>44950</v>
      </c>
      <c r="C63" s="1" t="n">
        <v>46183</v>
      </c>
      <c r="D63" t="inlineStr">
        <is>
          <t>STOCKHOLMS LÄN</t>
        </is>
      </c>
      <c r="E63" t="inlineStr">
        <is>
          <t>UPPLANDS-BRO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7860-2024</t>
        </is>
      </c>
      <c r="B64" s="1" t="n">
        <v>45348</v>
      </c>
      <c r="C64" s="1" t="n">
        <v>46183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64105-2023</t>
        </is>
      </c>
      <c r="B65" s="1" t="n">
        <v>45279</v>
      </c>
      <c r="C65" s="1" t="n">
        <v>46183</v>
      </c>
      <c r="D65" t="inlineStr">
        <is>
          <t>STOCKHOLMS LÄN</t>
        </is>
      </c>
      <c r="E65" t="inlineStr">
        <is>
          <t>UPPLANDS-BRO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64114-2023</t>
        </is>
      </c>
      <c r="B66" s="1" t="n">
        <v>45279</v>
      </c>
      <c r="C66" s="1" t="n">
        <v>46183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46183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3754-2026</t>
        </is>
      </c>
      <c r="B68" s="1" t="n">
        <v>46043</v>
      </c>
      <c r="C68" s="1" t="n">
        <v>46183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9655-2026</t>
        </is>
      </c>
      <c r="B69" s="1" t="n">
        <v>46070</v>
      </c>
      <c r="C69" s="1" t="n">
        <v>46183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46183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24579-2026</t>
        </is>
      </c>
      <c r="B71" s="1" t="n">
        <v>46170.6503125</v>
      </c>
      <c r="C71" s="1" t="n">
        <v>46183</v>
      </c>
      <c r="D71" t="inlineStr">
        <is>
          <t>STOCKHOLMS LÄN</t>
        </is>
      </c>
      <c r="E71" t="inlineStr">
        <is>
          <t>UPPLANDS-BRO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21206-2026</t>
        </is>
      </c>
      <c r="B72" s="1" t="n">
        <v>46146</v>
      </c>
      <c r="C72" s="1" t="n">
        <v>46183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21208-2026</t>
        </is>
      </c>
      <c r="B73" s="1" t="n">
        <v>46146</v>
      </c>
      <c r="C73" s="1" t="n">
        <v>46183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18813-2026</t>
        </is>
      </c>
      <c r="B74" s="1" t="n">
        <v>46128</v>
      </c>
      <c r="C74" s="1" t="n">
        <v>46183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56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18818-2026</t>
        </is>
      </c>
      <c r="B75" s="1" t="n">
        <v>46128</v>
      </c>
      <c r="C75" s="1" t="n">
        <v>46183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18778-2026</t>
        </is>
      </c>
      <c r="B76" s="1" t="n">
        <v>46128</v>
      </c>
      <c r="C76" s="1" t="n">
        <v>46183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3596-2026</t>
        </is>
      </c>
      <c r="B77" s="1" t="n">
        <v>46042</v>
      </c>
      <c r="C77" s="1" t="n">
        <v>46183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26196-2026</t>
        </is>
      </c>
      <c r="B78" s="1" t="n">
        <v>46182.38002314815</v>
      </c>
      <c r="C78" s="1" t="n">
        <v>46183</v>
      </c>
      <c r="D78" t="inlineStr">
        <is>
          <t>STOCKHOLMS LÄN</t>
        </is>
      </c>
      <c r="E78" t="inlineStr">
        <is>
          <t>UPPLANDS-BRO</t>
        </is>
      </c>
      <c r="G78" t="n">
        <v>53.1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2026-06-10T09:25:28Z</dcterms:created>
  <dcterms:modified xmlns:dcterms="http://purl.org/dc/terms/" xmlns:xsi="http://www.w3.org/2001/XMLSchema-instance" xsi:type="dcterms:W3CDTF">2026-06-10T09:25:28Z</dcterms:modified>
</cp:coreProperties>
</file>