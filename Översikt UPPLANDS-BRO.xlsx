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46297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46297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46297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46297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46297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A 73773-2021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44552</v>
      </c>
      <c r="E9" s="1" t="n">
        <v>46297</v>
      </c>
      <c r="F9" t="inlineStr">
        <is>
          <t>STOCKHOLMS LÄN</t>
        </is>
      </c>
      <c r="G9" t="inlineStr">
        <is>
          <t>UPPLANDS-BRO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Kopparödla
Gullviva</t>
        </is>
      </c>
      <c r="W9">
        <f>HYPERLINK("https://klasma.github.io/Logging_0139/artfynd/A 73773-2021 artfynd.xlsx", "A 73773-2021")</f>
        <v/>
      </c>
      <c r="X9">
        <f>HYPERLINK("https://klasma.github.io/Logging_0139/kartor/A 73773-2021 karta.png", "A 73773-2021")</f>
        <v/>
      </c>
      <c r="Y9">
        <f>HYPERLINK("https://klasma.github.io/Logging_0139/kartor_geotiff/A 73773-2021 georefererad karta.tif", "A 73773-2021")</f>
        <v/>
      </c>
      <c r="AA9">
        <f>HYPERLINK("https://klasma.github.io/Logging_0139/klagomål/A 73773-2021 FSC-klagomål.docx", "A 73773-2021")</f>
        <v/>
      </c>
      <c r="AB9">
        <f>HYPERLINK("https://klasma.github.io/Logging_0139/klagomålsmail/A 73773-2021 FSC-klagomål mail.docx", "A 73773-2021")</f>
        <v/>
      </c>
      <c r="AC9">
        <f>HYPERLINK("https://klasma.github.io/Logging_0139/tillsyn/A 73773-2021 tillsynsbegäran.docx", "A 73773-2021")</f>
        <v/>
      </c>
      <c r="AD9">
        <f>HYPERLINK("https://klasma.github.io/Logging_0139/tillsynsmail/A 73773-2021 tillsynsbegäran mail.docx", "A 73773-2021")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46297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46297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46297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46297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25561-2025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45803</v>
      </c>
      <c r="E14" s="1" t="n">
        <v>46297</v>
      </c>
      <c r="F14" t="inlineStr">
        <is>
          <t>STOCKHOLMS LÄN</t>
        </is>
      </c>
      <c r="G14" t="inlineStr">
        <is>
          <t>UPPLANDS-BRO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25561-2025 artfynd.xlsx", "A 25561-2025")</f>
        <v/>
      </c>
      <c r="X14">
        <f>HYPERLINK("https://klasma.github.io/Logging_0139/kartor/A 25561-2025 karta.png", "A 25561-2025")</f>
        <v/>
      </c>
      <c r="Y14">
        <f>HYPERLINK("https://klasma.github.io/Logging_0139/kartor_geotiff/A 25561-2025 georefererad karta.tif", "A 25561-2025")</f>
        <v/>
      </c>
      <c r="AA14">
        <f>HYPERLINK("https://klasma.github.io/Logging_0139/klagomål/A 25561-2025 FSC-klagomål.docx", "A 25561-2025")</f>
        <v/>
      </c>
      <c r="AB14">
        <f>HYPERLINK("https://klasma.github.io/Logging_0139/klagomålsmail/A 25561-2025 FSC-klagomål mail.docx", "A 25561-2025")</f>
        <v/>
      </c>
      <c r="AC14">
        <f>HYPERLINK("https://klasma.github.io/Logging_0139/tillsyn/A 25561-2025 tillsynsbegäran.docx", "A 25561-2025")</f>
        <v/>
      </c>
      <c r="AD14">
        <f>HYPERLINK("https://klasma.github.io/Logging_0139/tillsynsmail/A 25561-2025 tillsynsbegäran mail.docx", "A 25561-2025")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46297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46297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46297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46297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26196-2026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46182</v>
      </c>
      <c r="E19" s="1" t="n">
        <v>46297</v>
      </c>
      <c r="F19" t="inlineStr">
        <is>
          <t>STOCKHOLMS LÄN</t>
        </is>
      </c>
      <c r="G19" t="inlineStr">
        <is>
          <t>UPPLANDS-BRO</t>
        </is>
      </c>
      <c r="I19" t="n">
        <v>53.1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Liljekonvalj</t>
        </is>
      </c>
      <c r="W19">
        <f>HYPERLINK("https://klasma.github.io/Logging_0139/artfynd/A 26196-2026 artfynd.xlsx", "A 26196-2026")</f>
        <v/>
      </c>
      <c r="X19">
        <f>HYPERLINK("https://klasma.github.io/Logging_0139/kartor/A 26196-2026 karta.png", "A 26196-2026")</f>
        <v/>
      </c>
      <c r="Y19">
        <f>HYPERLINK("https://klasma.github.io/Logging_0139/kartor_geotiff/A 26196-2026 georefererad karta.tif", "A 26196-2026")</f>
        <v/>
      </c>
      <c r="AA19">
        <f>HYPERLINK("https://klasma.github.io/Logging_0139/klagomål/A 26196-2026 FSC-klagomål.docx", "A 26196-2026")</f>
        <v/>
      </c>
      <c r="AB19">
        <f>HYPERLINK("https://klasma.github.io/Logging_0139/klagomålsmail/A 26196-2026 FSC-klagomål mail.docx", "A 26196-2026")</f>
        <v/>
      </c>
      <c r="AC19">
        <f>HYPERLINK("https://klasma.github.io/Logging_0139/tillsyn/A 26196-2026 tillsynsbegäran.docx", "A 26196-2026")</f>
        <v/>
      </c>
      <c r="AD19">
        <f>HYPERLINK("https://klasma.github.io/Logging_0139/tillsynsmail/A 26196-2026 tillsynsbegäran mail.docx", "A 26196-2026")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46297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46297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46297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46297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46297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46297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46297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46297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46297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46297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46297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23615-2025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45792</v>
      </c>
      <c r="E31" s="1" t="n">
        <v>46297</v>
      </c>
      <c r="F31" t="inlineStr">
        <is>
          <t>STOCKHOLMS LÄN</t>
        </is>
      </c>
      <c r="G31" t="inlineStr">
        <is>
          <t>UPPLANDS-BRO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46297</v>
      </c>
      <c r="F32" t="inlineStr">
        <is>
          <t>STOCKHOLMS LÄN</t>
        </is>
      </c>
      <c r="G32" t="inlineStr">
        <is>
          <t>UPPLANDS-BRO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59700-2021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44494</v>
      </c>
      <c r="E33" s="1" t="n">
        <v>46297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46297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46297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46297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44959</v>
      </c>
      <c r="E37" s="1" t="n">
        <v>46297</v>
      </c>
      <c r="F37" t="inlineStr">
        <is>
          <t>STOCKHOLMS LÄN</t>
        </is>
      </c>
      <c r="G37" t="inlineStr">
        <is>
          <t>UPPLANDS-BRO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18787-2026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46297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18813-2026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46297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56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46297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18778-2026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46297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23098-2024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45450</v>
      </c>
      <c r="E42" s="1" t="n">
        <v>46297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44901</v>
      </c>
      <c r="E43" s="1" t="n">
        <v>46297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21206-2026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46297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45225</v>
      </c>
      <c r="E45" s="1" t="n">
        <v>46297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4338-2023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46297</v>
      </c>
      <c r="F46" t="inlineStr">
        <is>
          <t>STOCKHOLMS LÄN</t>
        </is>
      </c>
      <c r="G46" t="inlineStr">
        <is>
          <t>UPPLANDS-BRO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58011-2021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44487</v>
      </c>
      <c r="E47" s="1" t="n">
        <v>46297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9.199999999999999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72524-2021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46297</v>
      </c>
      <c r="F48" t="inlineStr">
        <is>
          <t>STOCKHOLMS LÄN</t>
        </is>
      </c>
      <c r="G48" t="inlineStr">
        <is>
          <t>UPPLANDS-BRO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46297</v>
      </c>
      <c r="F49" t="inlineStr">
        <is>
          <t>STOCKHOLMS LÄN</t>
        </is>
      </c>
      <c r="G49" t="inlineStr">
        <is>
          <t>UPPLANDS-BRO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46297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46170</v>
      </c>
      <c r="E51" s="1" t="n">
        <v>46297</v>
      </c>
      <c r="F51" t="inlineStr">
        <is>
          <t>STOCKHOLMS LÄN</t>
        </is>
      </c>
      <c r="G51" t="inlineStr">
        <is>
          <t>UPPLANDS-BRO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46297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46297</v>
      </c>
      <c r="F53" t="inlineStr">
        <is>
          <t>STOCKHOLMS LÄN</t>
        </is>
      </c>
      <c r="G53" t="inlineStr">
        <is>
          <t>UPPLANDS-BRO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45986</v>
      </c>
      <c r="E54" s="1" t="n">
        <v>46297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46297</v>
      </c>
      <c r="F55" t="inlineStr">
        <is>
          <t>STOCKHOLMS LÄN</t>
        </is>
      </c>
      <c r="G55" t="inlineStr">
        <is>
          <t>UPPLANDS-BRO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46297</v>
      </c>
      <c r="F56" t="inlineStr">
        <is>
          <t>STOCKHOLMS LÄN</t>
        </is>
      </c>
      <c r="G56" t="inlineStr">
        <is>
          <t>UPPLANDS-BRO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46297</v>
      </c>
      <c r="F57" t="inlineStr">
        <is>
          <t>STOCKHOLMS LÄN</t>
        </is>
      </c>
      <c r="G57" t="inlineStr">
        <is>
          <t>UPPLANDS-BRO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46297</v>
      </c>
      <c r="F58" t="inlineStr">
        <is>
          <t>STOCKHOLMS LÄN</t>
        </is>
      </c>
      <c r="G58" t="inlineStr">
        <is>
          <t>UPPLANDS-BRO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46043</v>
      </c>
      <c r="E59" s="1" t="n">
        <v>46297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46297</v>
      </c>
      <c r="F60" t="inlineStr">
        <is>
          <t>STOCKHOLMS LÄN</t>
        </is>
      </c>
      <c r="G60" t="inlineStr">
        <is>
          <t>UPPLANDS-BRO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46297</v>
      </c>
      <c r="F61" t="inlineStr">
        <is>
          <t>STOCKHOLMS LÄN</t>
        </is>
      </c>
      <c r="G61" t="inlineStr">
        <is>
          <t>UPPLANDS-BRO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46297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46297</v>
      </c>
      <c r="F63" t="inlineStr">
        <is>
          <t>STOCKHOLMS LÄN</t>
        </is>
      </c>
      <c r="G63" t="inlineStr">
        <is>
          <t>UPPLANDS-BRO</t>
        </is>
      </c>
      <c r="H63" t="inlineStr">
        <is>
          <t>Allmännings- och besparingsskogar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46297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46297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46297</v>
      </c>
      <c r="F66" t="inlineStr">
        <is>
          <t>STOCKHOLMS LÄN</t>
        </is>
      </c>
      <c r="G66" t="inlineStr">
        <is>
          <t>UPPLANDS-BRO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46297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46297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46297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33058-2026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46245</v>
      </c>
      <c r="E70" s="1" t="n">
        <v>46297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44950</v>
      </c>
      <c r="E71" s="1" t="n">
        <v>46297</v>
      </c>
      <c r="F71" t="inlineStr">
        <is>
          <t>STOCKHOLMS LÄN</t>
        </is>
      </c>
      <c r="G71" t="inlineStr">
        <is>
          <t>UPPLANDS-BRO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7860-2024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46297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46297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46297</v>
      </c>
      <c r="F74" t="inlineStr">
        <is>
          <t>STOCKHOLMS LÄN</t>
        </is>
      </c>
      <c r="G74" t="inlineStr">
        <is>
          <t>UPPLANDS-BRO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46297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46297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2026-10-02T02:04:37Z</dcterms:created>
  <dcterms:modified xmlns:dcterms="http://purl.org/dc/terms/" xmlns:xsi="http://www.w3.org/2001/XMLSchema-instance" xsi:type="dcterms:W3CDTF">2026-10-02T02:04:37Z</dcterms:modified>
</cp:coreProperties>
</file>