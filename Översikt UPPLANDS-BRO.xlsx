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46300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46300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46300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46300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46300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46300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25561-2025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45803</v>
      </c>
      <c r="E13" s="1" t="n">
        <v>46300</v>
      </c>
      <c r="F13" t="inlineStr">
        <is>
          <t>STOCKHOLMS LÄN</t>
        </is>
      </c>
      <c r="G13" t="inlineStr">
        <is>
          <t>UPPLANDS-BRO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25561-2025 artfynd.xlsx", "A 25561-2025")</f>
        <v/>
      </c>
      <c r="X13">
        <f>HYPERLINK("https://klasma.github.io/Logging_0139/kartor/A 25561-2025 karta.png", "A 25561-2025")</f>
        <v/>
      </c>
      <c r="Y13">
        <f>HYPERLINK("https://klasma.github.io/Logging_0139/kartor_geotiff/A 25561-2025 georefererad karta.tif", "A 25561-2025")</f>
        <v/>
      </c>
      <c r="AA13">
        <f>HYPERLINK("https://klasma.github.io/Logging_0139/klagomål/A 25561-2025 FSC-klagomål.docx", "A 25561-2025")</f>
        <v/>
      </c>
      <c r="AB13">
        <f>HYPERLINK("https://klasma.github.io/Logging_0139/klagomålsmail/A 25561-2025 FSC-klagomål mail.docx", "A 25561-2025")</f>
        <v/>
      </c>
      <c r="AC13">
        <f>HYPERLINK("https://klasma.github.io/Logging_0139/tillsyn/A 25561-2025 tillsynsbegäran.docx", "A 25561-2025")</f>
        <v/>
      </c>
      <c r="AD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46300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46300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Bredbrämad bastardsvärmare</t>
        </is>
      </c>
      <c r="W15">
        <f>HYPERLINK("https://klasma.github.io/Logging_0139/artfynd/A 23099-2024 artfynd.xlsx", "A 23099-2024")</f>
        <v/>
      </c>
      <c r="X15">
        <f>HYPERLINK("https://klasma.github.io/Logging_0139/kartor/A 23099-2024 karta.png", "A 23099-2024")</f>
        <v/>
      </c>
      <c r="Y15">
        <f>HYPERLINK("https://klasma.github.io/Logging_0139/kartor_geotiff/A 23099-2024 georefererad karta.tif", "A 23099-2024")</f>
        <v/>
      </c>
      <c r="AA15">
        <f>HYPERLINK("https://klasma.github.io/Logging_0139/klagomål/A 23099-2024 FSC-klagomål.docx", "A 23099-2024")</f>
        <v/>
      </c>
      <c r="AB15">
        <f>HYPERLINK("https://klasma.github.io/Logging_0139/klagomålsmail/A 23099-2024 FSC-klagomål mail.docx", "A 23099-2024")</f>
        <v/>
      </c>
      <c r="AC15">
        <f>HYPERLINK("https://klasma.github.io/Logging_0139/tillsyn/A 23099-2024 tillsynsbegäran.docx", "A 23099-2024")</f>
        <v/>
      </c>
      <c r="AD15">
        <f>HYPERLINK("https://klasma.github.io/Logging_0139/tillsynsmail/A 23099-2024 tillsynsbegäran mail.docx", "A 23099-2024")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46300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46300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46300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46300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46300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7955-2023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46300</v>
      </c>
      <c r="F21" t="inlineStr">
        <is>
          <t>STOCKHOLMS LÄN</t>
        </is>
      </c>
      <c r="G21" t="inlineStr">
        <is>
          <t>UPPLANDS-BRO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Bombmurkla</t>
        </is>
      </c>
      <c r="W21">
        <f>HYPERLINK("https://klasma.github.io/Logging_0139/artfynd/A 7955-2023 artfynd.xlsx", "A 7955-2023")</f>
        <v/>
      </c>
      <c r="X21">
        <f>HYPERLINK("https://klasma.github.io/Logging_0139/kartor/A 7955-2023 karta.png", "A 7955-2023")</f>
        <v/>
      </c>
      <c r="Y21">
        <f>HYPERLINK("https://klasma.github.io/Logging_0139/kartor_geotiff/A 7955-2023 georefererad karta.tif", "A 7955-2023")</f>
        <v/>
      </c>
      <c r="AA21">
        <f>HYPERLINK("https://klasma.github.io/Logging_0139/klagomål/A 7955-2023 FSC-klagomål.docx", "A 7955-2023")</f>
        <v/>
      </c>
      <c r="AB21">
        <f>HYPERLINK("https://klasma.github.io/Logging_0139/klagomålsmail/A 7955-2023 FSC-klagomål mail.docx", "A 7955-2023")</f>
        <v/>
      </c>
      <c r="AC21">
        <f>HYPERLINK("https://klasma.github.io/Logging_0139/tillsyn/A 7955-2023 tillsynsbegäran.docx", "A 7955-2023")</f>
        <v/>
      </c>
      <c r="AD21">
        <f>HYPERLINK("https://klasma.github.io/Logging_0139/tillsynsmail/A 7955-2023 tillsynsbegäran mail.docx", "A 7955-2023")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46300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46300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46300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46300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46300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46300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46300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46300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46300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46300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46300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46300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46300</v>
      </c>
      <c r="F36" t="inlineStr">
        <is>
          <t>STOCKHOLMS LÄN</t>
        </is>
      </c>
      <c r="G36" t="inlineStr">
        <is>
          <t>UPPLANDS-BRO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46300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46300</v>
      </c>
      <c r="F38" t="inlineStr">
        <is>
          <t>STOCKHOLMS LÄN</t>
        </is>
      </c>
      <c r="G38" t="inlineStr">
        <is>
          <t>UPPLANDS-BRO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7860-2024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46300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46300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46300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46300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46300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46300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46300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46300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46300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46300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46300</v>
      </c>
      <c r="F49" t="inlineStr">
        <is>
          <t>STOCKHOLMS LÄN</t>
        </is>
      </c>
      <c r="G49" t="inlineStr">
        <is>
          <t>UPPLANDS-BRO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46300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46300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46300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44906</v>
      </c>
      <c r="E53" s="1" t="n">
        <v>46300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46170</v>
      </c>
      <c r="E54" s="1" t="n">
        <v>46300</v>
      </c>
      <c r="F54" t="inlineStr">
        <is>
          <t>STOCKHOLMS LÄN</t>
        </is>
      </c>
      <c r="G54" t="inlineStr">
        <is>
          <t>UPPLANDS-BRO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46300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46300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46300</v>
      </c>
      <c r="F57" t="inlineStr">
        <is>
          <t>STOCKHOLMS LÄN</t>
        </is>
      </c>
      <c r="G57" t="inlineStr">
        <is>
          <t>UPPLANDS-BRO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46300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46300</v>
      </c>
      <c r="F59" t="inlineStr">
        <is>
          <t>STOCKHOLMS LÄN</t>
        </is>
      </c>
      <c r="G59" t="inlineStr">
        <is>
          <t>UPPLANDS-BRO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46300</v>
      </c>
      <c r="F60" t="inlineStr">
        <is>
          <t>STOCKHOLMS LÄN</t>
        </is>
      </c>
      <c r="G60" t="inlineStr">
        <is>
          <t>UPPLANDS-BRO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46300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46300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46300</v>
      </c>
      <c r="F63" t="inlineStr">
        <is>
          <t>STOCKHOLMS LÄN</t>
        </is>
      </c>
      <c r="G63" t="inlineStr">
        <is>
          <t>UPPLANDS-BRO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46300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46300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72524-2021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46300</v>
      </c>
      <c r="F66" t="inlineStr">
        <is>
          <t>STOCKHOLMS LÄN</t>
        </is>
      </c>
      <c r="G66" t="inlineStr">
        <is>
          <t>UPPLANDS-BRO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46300</v>
      </c>
      <c r="F67" t="inlineStr">
        <is>
          <t>STOCKHOLMS LÄN</t>
        </is>
      </c>
      <c r="G67" t="inlineStr">
        <is>
          <t>UPPLANDS-BRO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46300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46300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46300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46300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46300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46300</v>
      </c>
      <c r="F73" t="inlineStr">
        <is>
          <t>STOCKHOLMS LÄN</t>
        </is>
      </c>
      <c r="G73" t="inlineStr">
        <is>
          <t>UPPLANDS-BRO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46300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46300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46300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