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45735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45735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45735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45735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45735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45735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45735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HYPERLINK("https://klasma.github.io/Logging_0139/artfynd/A 12354-2025 artfynd.xlsx", "A 12354-2025")</f>
        <v/>
      </c>
      <c r="T8">
        <f>HYPERLINK("https://klasma.github.io/Logging_0139/kartor/A 12354-2025 karta.png", "A 12354-2025")</f>
        <v/>
      </c>
      <c r="V8">
        <f>HYPERLINK("https://klasma.github.io/Logging_0139/klagomål/A 12354-2025 FSC-klagomål.docx", "A 12354-2025")</f>
        <v/>
      </c>
      <c r="W8">
        <f>HYPERLINK("https://klasma.github.io/Logging_0139/klagomålsmail/A 12354-2025 FSC-klagomål mail.docx", "A 12354-2025")</f>
        <v/>
      </c>
      <c r="X8">
        <f>HYPERLINK("https://klasma.github.io/Logging_0139/tillsyn/A 12354-2025 tillsynsbegäran.docx", "A 12354-2025")</f>
        <v/>
      </c>
      <c r="Y8">
        <f>HYPERLINK("https://klasma.github.io/Logging_0139/tillsynsmail/A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45735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45735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10911-2025</t>
        </is>
      </c>
      <c r="B11" s="1" t="n">
        <v>45722</v>
      </c>
      <c r="C11" s="1" t="n">
        <v>45735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5.6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Vågbandad barkbock</t>
        </is>
      </c>
      <c r="S11">
        <f>HYPERLINK("https://klasma.github.io/Logging_0139/artfynd/A 10911-2025 artfynd.xlsx", "A 10911-2025")</f>
        <v/>
      </c>
      <c r="T11">
        <f>HYPERLINK("https://klasma.github.io/Logging_0139/kartor/A 10911-2025 karta.png", "A 10911-2025")</f>
        <v/>
      </c>
      <c r="V11">
        <f>HYPERLINK("https://klasma.github.io/Logging_0139/klagomål/A 10911-2025 FSC-klagomål.docx", "A 10911-2025")</f>
        <v/>
      </c>
      <c r="W11">
        <f>HYPERLINK("https://klasma.github.io/Logging_0139/klagomålsmail/A 10911-2025 FSC-klagomål mail.docx", "A 10911-2025")</f>
        <v/>
      </c>
      <c r="X11">
        <f>HYPERLINK("https://klasma.github.io/Logging_0139/tillsyn/A 10911-2025 tillsynsbegäran.docx", "A 10911-2025")</f>
        <v/>
      </c>
      <c r="Y11">
        <f>HYPERLINK("https://klasma.github.io/Logging_0139/tillsynsmail/A 10911-2025 tillsynsbegäran mail.docx", "A 10911-2025")</f>
        <v/>
      </c>
      <c r="Z11">
        <f>HYPERLINK("https://klasma.github.io/Logging_0139/fåglar/A 10911-2025 prioriterade fågelarter.docx", "A 10911-2025")</f>
        <v/>
      </c>
    </row>
    <row r="12" ht="15" customHeight="1">
      <c r="A12" t="inlineStr">
        <is>
          <t>A 10909-2025</t>
        </is>
      </c>
      <c r="B12" s="1" t="n">
        <v>45722</v>
      </c>
      <c r="C12" s="1" t="n">
        <v>45735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11.2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Arommusseron
Fläcknycklar</t>
        </is>
      </c>
      <c r="S12">
        <f>HYPERLINK("https://klasma.github.io/Logging_0139/artfynd/A 10909-2025 artfynd.xlsx", "A 10909-2025")</f>
        <v/>
      </c>
      <c r="T12">
        <f>HYPERLINK("https://klasma.github.io/Logging_0139/kartor/A 10909-2025 karta.png", "A 10909-2025")</f>
        <v/>
      </c>
      <c r="V12">
        <f>HYPERLINK("https://klasma.github.io/Logging_0139/klagomål/A 10909-2025 FSC-klagomål.docx", "A 10909-2025")</f>
        <v/>
      </c>
      <c r="W12">
        <f>HYPERLINK("https://klasma.github.io/Logging_0139/klagomålsmail/A 10909-2025 FSC-klagomål mail.docx", "A 10909-2025")</f>
        <v/>
      </c>
      <c r="X12">
        <f>HYPERLINK("https://klasma.github.io/Logging_0139/tillsyn/A 10909-2025 tillsynsbegäran.docx", "A 10909-2025")</f>
        <v/>
      </c>
      <c r="Y12">
        <f>HYPERLINK("https://klasma.github.io/Logging_0139/tillsynsmail/A 10909-2025 tillsynsbegäran mail.docx", "A 10909-2025")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45735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HYPERLINK("https://klasma.github.io/Logging_0139/artfynd/A 12390-2025 artfynd.xlsx", "A 12390-2025")</f>
        <v/>
      </c>
      <c r="T13">
        <f>HYPERLINK("https://klasma.github.io/Logging_0139/kartor/A 12390-2025 karta.png", "A 12390-2025")</f>
        <v/>
      </c>
      <c r="V13">
        <f>HYPERLINK("https://klasma.github.io/Logging_0139/klagomål/A 12390-2025 FSC-klagomål.docx", "A 12390-2025")</f>
        <v/>
      </c>
      <c r="W13">
        <f>HYPERLINK("https://klasma.github.io/Logging_0139/klagomålsmail/A 12390-2025 FSC-klagomål mail.docx", "A 12390-2025")</f>
        <v/>
      </c>
      <c r="X13">
        <f>HYPERLINK("https://klasma.github.io/Logging_0139/tillsyn/A 12390-2025 tillsynsbegäran.docx", "A 12390-2025")</f>
        <v/>
      </c>
      <c r="Y13">
        <f>HYPERLINK("https://klasma.github.io/Logging_0139/tillsynsmail/A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45735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45735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45735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45735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45735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45735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45735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45735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45735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45735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45735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HYPERLINK("https://klasma.github.io/Logging_0139/artfynd/A 11447-2025 artfynd.xlsx", "A 11447-2025")</f>
        <v/>
      </c>
      <c r="T24">
        <f>HYPERLINK("https://klasma.github.io/Logging_0139/kartor/A 11447-2025 karta.png", "A 11447-2025")</f>
        <v/>
      </c>
      <c r="V24">
        <f>HYPERLINK("https://klasma.github.io/Logging_0139/klagomål/A 11447-2025 FSC-klagomål.docx", "A 11447-2025")</f>
        <v/>
      </c>
      <c r="W24">
        <f>HYPERLINK("https://klasma.github.io/Logging_0139/klagomålsmail/A 11447-2025 FSC-klagomål mail.docx", "A 11447-2025")</f>
        <v/>
      </c>
      <c r="X24">
        <f>HYPERLINK("https://klasma.github.io/Logging_0139/tillsyn/A 11447-2025 tillsynsbegäran.docx", "A 11447-2025")</f>
        <v/>
      </c>
      <c r="Y24">
        <f>HYPERLINK("https://klasma.github.io/Logging_0139/tillsynsmail/A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45735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45735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45735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45735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45735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45735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45735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45735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45735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45735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45735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45735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45735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45735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45735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45735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45735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45735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45735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45735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45735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45735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45735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45735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45735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45735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45735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45735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45735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45735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45735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45735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45735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45735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45735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45735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45735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45735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45735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45735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45735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45735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45735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45735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45735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45735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45735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45735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45735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45735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45735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45735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45735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45735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45735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45735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45735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45735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45735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45735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45735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45735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45735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45735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45735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45735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45735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45735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45735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45735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45735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45735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45735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45735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45735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45735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45735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45735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45735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45735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45735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45735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45735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45735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45735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45735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45735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45735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45735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45735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45735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45735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45735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45735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45735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45735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45735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45735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45735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45735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45735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45735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45735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45735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45735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45735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45735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45735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45735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45735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45735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45735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45735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45735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45735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45735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45735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45735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45735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45735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45735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45735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45735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10935-2025</t>
        </is>
      </c>
      <c r="B148" s="1" t="n">
        <v>45722</v>
      </c>
      <c r="C148" s="1" t="n">
        <v>45735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45735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45735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45735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45735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12372-2025</t>
        </is>
      </c>
      <c r="B153" s="1" t="n">
        <v>45730</v>
      </c>
      <c r="C153" s="1" t="n">
        <v>45735</v>
      </c>
      <c r="D153" t="inlineStr">
        <is>
          <t>STOCKHOLMS LÄN</t>
        </is>
      </c>
      <c r="E153" t="inlineStr">
        <is>
          <t>UPPLANDS-BRO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45735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12442-2025</t>
        </is>
      </c>
      <c r="B155" s="1" t="n">
        <v>45730</v>
      </c>
      <c r="C155" s="1" t="n">
        <v>45735</v>
      </c>
      <c r="D155" t="inlineStr">
        <is>
          <t>STOCKHOLMS LÄN</t>
        </is>
      </c>
      <c r="E155" t="inlineStr">
        <is>
          <t>UPPLANDS-BRO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45735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45735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2025-03-19T17:26:54Z</dcterms:created>
  <dcterms:modified xmlns:dcterms="http://purl.org/dc/terms/" xmlns:xsi="http://www.w3.org/2001/XMLSchema-instance" xsi:type="dcterms:W3CDTF">2025-03-19T17:26:54Z</dcterms:modified>
</cp:coreProperties>
</file>