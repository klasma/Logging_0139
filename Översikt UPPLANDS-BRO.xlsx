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46326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55586-2023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46326</v>
      </c>
      <c r="F3" t="inlineStr">
        <is>
          <t>STOCKHOLMS LÄN</t>
        </is>
      </c>
      <c r="G3" t="inlineStr">
        <is>
          <t>UPPLANDS-BRO</t>
        </is>
      </c>
      <c r="H3" t="inlineStr">
        <is>
          <t>Övriga statliga verk och myndigheter</t>
        </is>
      </c>
      <c r="I3" t="n">
        <v>38.9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4</v>
      </c>
      <c r="U3" t="n">
        <v>2</v>
      </c>
      <c r="V3" s="2" t="inlineStr">
        <is>
          <t>Fyrflikig jordstjärna
Nästrot
Blåsippa</t>
        </is>
      </c>
      <c r="W3">
        <f>HYPERLINK("https://klasma.github.io/Logging_0139/artfynd/A 55586-2023 artfynd.xlsx", "A 55586-2023")</f>
        <v/>
      </c>
      <c r="X3">
        <f>HYPERLINK("https://klasma.github.io/Logging_0139/kartor/A 55586-2023 karta.png", "A 55586-2023")</f>
        <v/>
      </c>
      <c r="Y3">
        <f>HYPERLINK("https://klasma.github.io/Logging_0139/kartor_geotiff/A 55586-2023 georefererad karta.tif", "A 55586-2023")</f>
        <v/>
      </c>
      <c r="AA3">
        <f>HYPERLINK("https://klasma.github.io/Logging_0139/klagomål/A 55586-2023 FSC-klagomål.docx", "A 55586-2023")</f>
        <v/>
      </c>
      <c r="AB3">
        <f>HYPERLINK("https://klasma.github.io/Logging_0139/klagomålsmail/A 55586-2023 FSC-klagomål mail.docx", "A 55586-2023")</f>
        <v/>
      </c>
      <c r="AC3">
        <f>HYPERLINK("https://klasma.github.io/Logging_0139/tillsyn/A 55586-2023 tillsynsbegäran.docx", "A 55586-2023")</f>
        <v/>
      </c>
      <c r="AD3">
        <f>HYPERLINK("https://klasma.github.io/Logging_0139/tillsynsmail/A 55586-2023 tillsynsbegäran mail.docx", "A 55586-2023")</f>
        <v/>
      </c>
    </row>
    <row r="4" ht="15" customHeight="1">
      <c r="A4" t="inlineStr">
        <is>
          <t>A 73773-2021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46326</v>
      </c>
      <c r="F4" t="inlineStr">
        <is>
          <t>STOCKHOLMS LÄN</t>
        </is>
      </c>
      <c r="G4" t="inlineStr">
        <is>
          <t>UPPLANDS-BRO</t>
        </is>
      </c>
      <c r="I4" t="n">
        <v>1.9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Kopparödla
Gullviva</t>
        </is>
      </c>
      <c r="W4">
        <f>HYPERLINK("https://klasma.github.io/Logging_0139/artfynd/A 73773-2021 artfynd.xlsx", "A 73773-2021")</f>
        <v/>
      </c>
      <c r="X4">
        <f>HYPERLINK("https://klasma.github.io/Logging_0139/kartor/A 73773-2021 karta.png", "A 73773-2021")</f>
        <v/>
      </c>
      <c r="Y4">
        <f>HYPERLINK("https://klasma.github.io/Logging_0139/kartor_geotiff/A 73773-2021 georefererad karta.tif", "A 73773-2021")</f>
        <v/>
      </c>
      <c r="AA4">
        <f>HYPERLINK("https://klasma.github.io/Logging_0139/klagomål/A 73773-2021 FSC-klagomål.docx", "A 73773-2021")</f>
        <v/>
      </c>
      <c r="AB4">
        <f>HYPERLINK("https://klasma.github.io/Logging_0139/klagomålsmail/A 73773-2021 FSC-klagomål mail.docx", "A 73773-2021")</f>
        <v/>
      </c>
      <c r="AC4">
        <f>HYPERLINK("https://klasma.github.io/Logging_0139/tillsyn/A 73773-2021 tillsynsbegäran.docx", "A 73773-2021")</f>
        <v/>
      </c>
      <c r="AD4">
        <f>HYPERLINK("https://klasma.github.io/Logging_0139/tillsynsmail/A 73773-2021 tillsynsbegäran mail.docx", "A 73773-2021")</f>
        <v/>
      </c>
    </row>
    <row r="5" ht="15" customHeight="1">
      <c r="A5" t="inlineStr">
        <is>
          <t>A 18772-2026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46326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19.5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Svedjenäva
Fläcknycklar</t>
        </is>
      </c>
      <c r="W5">
        <f>HYPERLINK("https://klasma.github.io/Logging_0139/artfynd/A 18772-2026 artfynd.xlsx", "A 18772-2026")</f>
        <v/>
      </c>
      <c r="X5">
        <f>HYPERLINK("https://klasma.github.io/Logging_0139/kartor/A 18772-2026 karta.png", "A 18772-2026")</f>
        <v/>
      </c>
      <c r="Y5">
        <f>HYPERLINK("https://klasma.github.io/Logging_0139/kartor_geotiff/A 18772-2026 georefererad karta.tif", "A 18772-2026")</f>
        <v/>
      </c>
      <c r="AA5">
        <f>HYPERLINK("https://klasma.github.io/Logging_0139/klagomål/A 18772-2026 FSC-klagomål.docx", "A 18772-2026")</f>
        <v/>
      </c>
      <c r="AB5">
        <f>HYPERLINK("https://klasma.github.io/Logging_0139/klagomålsmail/A 18772-2026 FSC-klagomål mail.docx", "A 18772-2026")</f>
        <v/>
      </c>
      <c r="AC5">
        <f>HYPERLINK("https://klasma.github.io/Logging_0139/tillsyn/A 18772-2026 tillsynsbegäran.docx", "A 18772-2026")</f>
        <v/>
      </c>
      <c r="AD5">
        <f>HYPERLINK("https://klasma.github.io/Logging_0139/tillsynsmail/A 18772-2026 tillsynsbegäran mail.docx", "A 18772-2026")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46326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46326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S 800-2022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44603</v>
      </c>
      <c r="E8" s="1" t="n">
        <v>46326</v>
      </c>
      <c r="F8" t="inlineStr">
        <is>
          <t>STOCKHOLMS LÄN</t>
        </is>
      </c>
      <c r="G8" t="inlineStr">
        <is>
          <t>UPPLANDS-BRO</t>
        </is>
      </c>
      <c r="I8" t="n">
        <v>4.3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7</v>
      </c>
      <c r="U8" t="n">
        <v>1</v>
      </c>
      <c r="V8" s="2" t="inlineStr">
        <is>
          <t>Ask
Mistel</t>
        </is>
      </c>
      <c r="W8">
        <f>HYPERLINK("https://klasma.github.io/Logging_0139/artfynd/S 800-2022 artfynd.xlsx", "S 800-2022")</f>
        <v/>
      </c>
      <c r="X8">
        <f>HYPERLINK("https://klasma.github.io/Logging_0139/kartor/S 800-2022 karta.png", "S 800-2022")</f>
        <v/>
      </c>
      <c r="Y8">
        <f>HYPERLINK("https://klasma.github.io/Logging_0139/kartor_geotiff/S 800-2022 georefererad karta.tif", "S 800-2022")</f>
        <v/>
      </c>
      <c r="AA8">
        <f>HYPERLINK("https://klasma.github.io/Logging_0139/klagomål/S 800-2022 FSC-klagomål.docx", "S 800-2022")</f>
        <v/>
      </c>
      <c r="AB8">
        <f>HYPERLINK("https://klasma.github.io/Logging_0139/klagomålsmail/S 800-2022 FSC-klagomål mail.docx", "S 800-2022")</f>
        <v/>
      </c>
      <c r="AC8">
        <f>HYPERLINK("https://klasma.github.io/Logging_0139/tillsyn/S 800-2022 tillsynsbegäran.docx", "S 800-2022")</f>
        <v/>
      </c>
      <c r="AD8">
        <f>HYPERLINK("https://klasma.github.io/Logging_0139/tillsynsmail/S 800-2022 tillsynsbegäran mail.docx", "S 800-2022")</f>
        <v/>
      </c>
    </row>
    <row r="9" ht="15" customHeight="1">
      <c r="A9" t="inlineStr">
        <is>
          <t>A 73787-2021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44552</v>
      </c>
      <c r="E9" s="1" t="n">
        <v>46326</v>
      </c>
      <c r="F9" t="inlineStr">
        <is>
          <t>STOCKHOLMS LÄN</t>
        </is>
      </c>
      <c r="G9" t="inlineStr">
        <is>
          <t>UPPLANDS-BRO</t>
        </is>
      </c>
      <c r="I9" t="n">
        <v>4.6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Dofttaggsvamp</t>
        </is>
      </c>
      <c r="W9">
        <f>HYPERLINK("https://klasma.github.io/Logging_0139/artfynd/A 73787-2021 artfynd.xlsx", "A 73787-2021")</f>
        <v/>
      </c>
      <c r="X9">
        <f>HYPERLINK("https://klasma.github.io/Logging_0139/kartor/A 73787-2021 karta.png", "A 73787-2021")</f>
        <v/>
      </c>
      <c r="Y9">
        <f>HYPERLINK("https://klasma.github.io/Logging_0139/kartor_geotiff/A 73787-2021 georefererad karta.tif", "A 73787-2021")</f>
        <v/>
      </c>
      <c r="AA9">
        <f>HYPERLINK("https://klasma.github.io/Logging_0139/klagomål/A 73787-2021 FSC-klagomål.docx", "A 73787-2021")</f>
        <v/>
      </c>
      <c r="AB9">
        <f>HYPERLINK("https://klasma.github.io/Logging_0139/klagomålsmail/A 73787-2021 FSC-klagomål mail.docx", "A 73787-2021")</f>
        <v/>
      </c>
      <c r="AC9">
        <f>HYPERLINK("https://klasma.github.io/Logging_0139/tillsyn/A 73787-2021 tillsynsbegäran.docx", "A 73787-2021")</f>
        <v/>
      </c>
      <c r="AD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45803</v>
      </c>
      <c r="E10" s="1" t="n">
        <v>46326</v>
      </c>
      <c r="F10" t="inlineStr">
        <is>
          <t>STOCKHOLMS LÄN</t>
        </is>
      </c>
      <c r="G10" t="inlineStr">
        <is>
          <t>UPPLANDS-BRO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Bombmurkla</t>
        </is>
      </c>
      <c r="W10">
        <f>HYPERLINK("https://klasma.github.io/Logging_0139/artfynd/A 25561-2025 artfynd.xlsx", "A 25561-2025")</f>
        <v/>
      </c>
      <c r="X10">
        <f>HYPERLINK("https://klasma.github.io/Logging_0139/kartor/A 25561-2025 karta.png", "A 25561-2025")</f>
        <v/>
      </c>
      <c r="Y10">
        <f>HYPERLINK("https://klasma.github.io/Logging_0139/kartor_geotiff/A 25561-2025 georefererad karta.tif", "A 25561-2025")</f>
        <v/>
      </c>
      <c r="AA10">
        <f>HYPERLINK("https://klasma.github.io/Logging_0139/klagomål/A 25561-2025 FSC-klagomål.docx", "A 25561-2025")</f>
        <v/>
      </c>
      <c r="AB10">
        <f>HYPERLINK("https://klasma.github.io/Logging_0139/klagomålsmail/A 25561-2025 FSC-klagomål mail.docx", "A 25561-2025")</f>
        <v/>
      </c>
      <c r="AC10">
        <f>HYPERLINK("https://klasma.github.io/Logging_0139/tillsyn/A 25561-2025 tillsynsbegäran.docx", "A 25561-2025")</f>
        <v/>
      </c>
      <c r="AD10">
        <f>HYPERLINK("https://klasma.github.io/Logging_0139/tillsynsmail/A 25561-2025 tillsynsbegäran mail.docx", "A 25561-2025")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46326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53357-2025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45959</v>
      </c>
      <c r="E12" s="1" t="n">
        <v>46326</v>
      </c>
      <c r="F12" t="inlineStr">
        <is>
          <t>STOCKHOLMS LÄN</t>
        </is>
      </c>
      <c r="G12" t="inlineStr">
        <is>
          <t>UPPLANDS-BRO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Bombmurkla</t>
        </is>
      </c>
      <c r="W12">
        <f>HYPERLINK("https://klasma.github.io/Logging_0139/artfynd/A 53357-2025 artfynd.xlsx", "A 53357-2025")</f>
        <v/>
      </c>
      <c r="X12">
        <f>HYPERLINK("https://klasma.github.io/Logging_0139/kartor/A 53357-2025 karta.png", "A 53357-2025")</f>
        <v/>
      </c>
      <c r="Y12">
        <f>HYPERLINK("https://klasma.github.io/Logging_0139/kartor_geotiff/A 53357-2025 georefererad karta.tif", "A 53357-2025")</f>
        <v/>
      </c>
      <c r="AA12">
        <f>HYPERLINK("https://klasma.github.io/Logging_0139/klagomål/A 53357-2025 FSC-klagomål.docx", "A 53357-2025")</f>
        <v/>
      </c>
      <c r="AB12">
        <f>HYPERLINK("https://klasma.github.io/Logging_0139/klagomålsmail/A 53357-2025 FSC-klagomål mail.docx", "A 53357-2025")</f>
        <v/>
      </c>
      <c r="AC12">
        <f>HYPERLINK("https://klasma.github.io/Logging_0139/tillsyn/A 53357-2025 tillsynsbegäran.docx", "A 53357-2025")</f>
        <v/>
      </c>
      <c r="AD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46326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46326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46326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44973</v>
      </c>
      <c r="E16" s="1" t="n">
        <v>46326</v>
      </c>
      <c r="F16" t="inlineStr">
        <is>
          <t>STOCKHOLMS LÄN</t>
        </is>
      </c>
      <c r="G16" t="inlineStr">
        <is>
          <t>UPPLANDS-BRO</t>
        </is>
      </c>
      <c r="I16" t="n">
        <v>2.9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Bombmurkla</t>
        </is>
      </c>
      <c r="W16">
        <f>HYPERLINK("https://klasma.github.io/Logging_0139/artfynd/A 7955-2023 artfynd.xlsx", "A 7955-2023")</f>
        <v/>
      </c>
      <c r="X16">
        <f>HYPERLINK("https://klasma.github.io/Logging_0139/kartor/A 7955-2023 karta.png", "A 7955-2023")</f>
        <v/>
      </c>
      <c r="Y16">
        <f>HYPERLINK("https://klasma.github.io/Logging_0139/kartor_geotiff/A 7955-2023 georefererad karta.tif", "A 7955-2023")</f>
        <v/>
      </c>
      <c r="AA16">
        <f>HYPERLINK("https://klasma.github.io/Logging_0139/klagomål/A 7955-2023 FSC-klagomål.docx", "A 7955-2023")</f>
        <v/>
      </c>
      <c r="AB16">
        <f>HYPERLINK("https://klasma.github.io/Logging_0139/klagomålsmail/A 7955-2023 FSC-klagomål mail.docx", "A 7955-2023")</f>
        <v/>
      </c>
      <c r="AC16">
        <f>HYPERLINK("https://klasma.github.io/Logging_0139/tillsyn/A 7955-2023 tillsynsbegäran.docx", "A 7955-2023")</f>
        <v/>
      </c>
      <c r="AD16">
        <f>HYPERLINK("https://klasma.github.io/Logging_0139/tillsynsmail/A 7955-2023 tillsynsbegäran mail.docx", "A 7955-2023")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46326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46326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2062-2025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45671</v>
      </c>
      <c r="E19" s="1" t="n">
        <v>46326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Mindre hackspett</t>
        </is>
      </c>
      <c r="W19">
        <f>HYPERLINK("https://klasma.github.io/Logging_0139/artfynd/A 2062-2025 artfynd.xlsx", "A 2062-2025")</f>
        <v/>
      </c>
      <c r="X19">
        <f>HYPERLINK("https://klasma.github.io/Logging_0139/kartor/A 2062-2025 karta.png", "A 2062-2025")</f>
        <v/>
      </c>
      <c r="Y19">
        <f>HYPERLINK("https://klasma.github.io/Logging_0139/kartor_geotiff/A 2062-2025 georefererad karta.tif", "A 2062-2025")</f>
        <v/>
      </c>
      <c r="AA19">
        <f>HYPERLINK("https://klasma.github.io/Logging_0139/klagomål/A 2062-2025 FSC-klagomål.docx", "A 2062-2025")</f>
        <v/>
      </c>
      <c r="AB19">
        <f>HYPERLINK("https://klasma.github.io/Logging_0139/klagomålsmail/A 2062-2025 FSC-klagomål mail.docx", "A 2062-2025")</f>
        <v/>
      </c>
      <c r="AC19">
        <f>HYPERLINK("https://klasma.github.io/Logging_0139/tillsyn/A 2062-2025 tillsynsbegäran.docx", "A 2062-2025")</f>
        <v/>
      </c>
      <c r="AD19">
        <f>HYPERLINK("https://klasma.github.io/Logging_0139/tillsynsmail/A 2062-2025 tillsynsbegäran mail.docx", "A 2062-2025")</f>
        <v/>
      </c>
      <c r="AE19">
        <f>HYPERLINK("https://klasma.github.io/Logging_0139/fåglar/A 2062-2025 prioriterade fågelarter.docx", "A 2062-2025")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46326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46326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S 10446-2021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44558</v>
      </c>
      <c r="E22" s="1" t="n">
        <v>46326</v>
      </c>
      <c r="F22" t="inlineStr">
        <is>
          <t>STOCKHOLMS LÄN</t>
        </is>
      </c>
      <c r="G22" t="inlineStr">
        <is>
          <t>UPPLANDS-BRO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Korskovall</t>
        </is>
      </c>
      <c r="W22">
        <f>HYPERLINK("https://klasma.github.io/Logging_0139/artfynd/S 10446-2021 artfynd.xlsx", "S 10446-2021")</f>
        <v/>
      </c>
      <c r="X22">
        <f>HYPERLINK("https://klasma.github.io/Logging_0139/kartor/S 10446-2021 karta.png", "S 10446-2021")</f>
        <v/>
      </c>
      <c r="Y22">
        <f>HYPERLINK("https://klasma.github.io/Logging_0139/kartor_geotiff/S 10446-2021 georefererad karta.tif", "S 10446-2021")</f>
        <v/>
      </c>
      <c r="AA22">
        <f>HYPERLINK("https://klasma.github.io/Logging_0139/klagomål/S 10446-2021 FSC-klagomål.docx", "S 10446-2021")</f>
        <v/>
      </c>
      <c r="AB22">
        <f>HYPERLINK("https://klasma.github.io/Logging_0139/klagomålsmail/S 10446-2021 FSC-klagomål mail.docx", "S 10446-2021")</f>
        <v/>
      </c>
      <c r="AC22">
        <f>HYPERLINK("https://klasma.github.io/Logging_0139/tillsyn/S 10446-2021 tillsynsbegäran.docx", "S 10446-2021")</f>
        <v/>
      </c>
      <c r="AD22">
        <f>HYPERLINK("https://klasma.github.io/Logging_0139/tillsynsmail/S 10446-2021 tillsynsbegäran mail.docx", "S 10446-2021")</f>
        <v/>
      </c>
    </row>
    <row r="23" ht="15" customHeight="1">
      <c r="A23" t="inlineStr">
        <is>
          <t>A 8261-2022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44609</v>
      </c>
      <c r="E23" s="1" t="n">
        <v>46326</v>
      </c>
      <c r="F23" t="inlineStr">
        <is>
          <t>STOCKHOLMS LÄN</t>
        </is>
      </c>
      <c r="G23" t="inlineStr">
        <is>
          <t>UPPLANDS-BRO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72523-2021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46326</v>
      </c>
      <c r="F24" t="inlineStr">
        <is>
          <t>STOCKHOLMS LÄN</t>
        </is>
      </c>
      <c r="G24" t="inlineStr">
        <is>
          <t>UPPLANDS-BRO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46326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44587</v>
      </c>
      <c r="E26" s="1" t="n">
        <v>46326</v>
      </c>
      <c r="F26" t="inlineStr">
        <is>
          <t>STOCKHOLMS LÄN</t>
        </is>
      </c>
      <c r="G26" t="inlineStr">
        <is>
          <t>UPPLANDS-BRO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14719-2022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46326</v>
      </c>
      <c r="F27" t="inlineStr">
        <is>
          <t>STOCKHOLMS LÄN</t>
        </is>
      </c>
      <c r="G27" t="inlineStr">
        <is>
          <t>UPPLANDS-BRO</t>
        </is>
      </c>
      <c r="H27" t="inlineStr">
        <is>
          <t>Allmännings- och besparingsskogar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46326</v>
      </c>
      <c r="F28" t="inlineStr">
        <is>
          <t>STOCKHOLMS LÄN</t>
        </is>
      </c>
      <c r="G28" t="inlineStr">
        <is>
          <t>UPPLANDS-BRO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45313</v>
      </c>
      <c r="E29" s="1" t="n">
        <v>46326</v>
      </c>
      <c r="F29" t="inlineStr">
        <is>
          <t>STOCKHOLMS LÄN</t>
        </is>
      </c>
      <c r="G29" t="inlineStr">
        <is>
          <t>UPPLANDS-BRO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46326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11.9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45450</v>
      </c>
      <c r="E31" s="1" t="n">
        <v>46326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45225</v>
      </c>
      <c r="E32" s="1" t="n">
        <v>46326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44950</v>
      </c>
      <c r="E33" s="1" t="n">
        <v>46326</v>
      </c>
      <c r="F33" t="inlineStr">
        <is>
          <t>STOCKHOLMS LÄN</t>
        </is>
      </c>
      <c r="G33" t="inlineStr">
        <is>
          <t>UPPLANDS-BRO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7860-2024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45348</v>
      </c>
      <c r="E34" s="1" t="n">
        <v>46326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27313-2023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46326</v>
      </c>
      <c r="F35" t="inlineStr">
        <is>
          <t>STOCKHOLMS LÄN</t>
        </is>
      </c>
      <c r="G35" t="inlineStr">
        <is>
          <t>UPPLANDS-BRO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64114-2023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46326</v>
      </c>
      <c r="F36" t="inlineStr">
        <is>
          <t>STOCKHOLMS LÄN</t>
        </is>
      </c>
      <c r="G36" t="inlineStr">
        <is>
          <t>UPPLANDS-BRO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50294-2023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46326</v>
      </c>
      <c r="F37" t="inlineStr">
        <is>
          <t>STOCKHOLMS LÄN</t>
        </is>
      </c>
      <c r="G37" t="inlineStr">
        <is>
          <t>UPPLANDS-BRO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46326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46326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46326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46326</v>
      </c>
      <c r="F41" t="inlineStr">
        <is>
          <t>STOCKHOLMS LÄN</t>
        </is>
      </c>
      <c r="G41" t="inlineStr">
        <is>
          <t>UPPLANDS-BRO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44906</v>
      </c>
      <c r="E42" s="1" t="n">
        <v>46326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46326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46326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56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46326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46326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46326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46326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46326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46326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46326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46326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46326</v>
      </c>
      <c r="F53" t="inlineStr">
        <is>
          <t>STOCKHOLMS LÄN</t>
        </is>
      </c>
      <c r="G53" t="inlineStr">
        <is>
          <t>UPPLANDS-BRO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46326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46326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46326</v>
      </c>
      <c r="F56" t="inlineStr">
        <is>
          <t>STOCKHOLMS LÄN</t>
        </is>
      </c>
      <c r="G56" t="inlineStr">
        <is>
          <t>UPPLANDS-BRO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46326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46326</v>
      </c>
      <c r="F58" t="inlineStr">
        <is>
          <t>STOCKHOLMS LÄN</t>
        </is>
      </c>
      <c r="G58" t="inlineStr">
        <is>
          <t>UPPLANDS-BRO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46326</v>
      </c>
      <c r="F59" t="inlineStr">
        <is>
          <t>STOCKHOLMS LÄN</t>
        </is>
      </c>
      <c r="G59" t="inlineStr">
        <is>
          <t>UPPLANDS-BRO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46326</v>
      </c>
      <c r="F60" t="inlineStr">
        <is>
          <t>STOCKHOLMS LÄN</t>
        </is>
      </c>
      <c r="G60" t="inlineStr">
        <is>
          <t>UPPLANDS-BRO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46326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9.6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46226</v>
      </c>
      <c r="E62" s="1" t="n">
        <v>46326</v>
      </c>
      <c r="F62" t="inlineStr">
        <is>
          <t>STOCKHOLMS LÄN</t>
        </is>
      </c>
      <c r="G62" t="inlineStr">
        <is>
          <t>UPPLANDS-BRO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64107-2023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46326</v>
      </c>
      <c r="F63" t="inlineStr">
        <is>
          <t>STOCKHOLMS LÄN</t>
        </is>
      </c>
      <c r="G63" t="inlineStr">
        <is>
          <t>UPPLANDS-BRO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45701</v>
      </c>
      <c r="E64" s="1" t="n">
        <v>46326</v>
      </c>
      <c r="F64" t="inlineStr">
        <is>
          <t>STOCKHOLMS LÄN</t>
        </is>
      </c>
      <c r="G64" t="inlineStr">
        <is>
          <t>UPPLANDS-BRO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33058-2026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46245</v>
      </c>
      <c r="E65" s="1" t="n">
        <v>46326</v>
      </c>
      <c r="F65" t="inlineStr">
        <is>
          <t>STOCKHOLMS LÄN</t>
        </is>
      </c>
      <c r="G65" t="inlineStr">
        <is>
          <t>UPPLANDS-BRO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46326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46326</v>
      </c>
      <c r="F67" t="inlineStr">
        <is>
          <t>STOCKHOLMS LÄN</t>
        </is>
      </c>
      <c r="G67" t="inlineStr">
        <is>
          <t>UPPLANDS-BRO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46326</v>
      </c>
      <c r="F68" t="inlineStr">
        <is>
          <t>STOCKHOLMS LÄN</t>
        </is>
      </c>
      <c r="G68" t="inlineStr">
        <is>
          <t>UPPLANDS-BRO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46326</v>
      </c>
      <c r="F69" t="inlineStr">
        <is>
          <t>STOCKHOLMS LÄN</t>
        </is>
      </c>
      <c r="G69" t="inlineStr">
        <is>
          <t>UPPLANDS-BRO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10447-2021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44558</v>
      </c>
      <c r="E70" s="1" t="n">
        <v>46326</v>
      </c>
      <c r="F70" t="inlineStr">
        <is>
          <t>STOCKHOLMS LÄN</t>
        </is>
      </c>
      <c r="G70" t="inlineStr">
        <is>
          <t>UPPLANDS-BRO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