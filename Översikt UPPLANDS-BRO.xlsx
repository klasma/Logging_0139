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34890-2018</t>
        </is>
      </c>
      <c r="B2" s="1" t="n">
        <v>43321</v>
      </c>
      <c r="C2" s="1" t="n">
        <v>45353</v>
      </c>
      <c r="D2" t="inlineStr">
        <is>
          <t>STOCKHOLMS LÄN</t>
        </is>
      </c>
      <c r="E2" t="inlineStr">
        <is>
          <t>UPPLANDS-BRO</t>
        </is>
      </c>
      <c r="G2" t="n">
        <v>19.2</v>
      </c>
      <c r="H2" t="n">
        <v>3</v>
      </c>
      <c r="I2" t="n">
        <v>8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Rynkskinn
Motaggsvamp
Såpfingersvamp
Talltita
Ullticka
Blåmossa
Granbarkgnagare
Granbräken
Grönpyrola
Gullgröppa
Skarp dropptaggsvamp
Tallfingersvamp
Zontaggsvamp
Fläcknycklar
Revlummer</t>
        </is>
      </c>
      <c r="S2">
        <f>HYPERLINK("https://klasma.github.io/Logging_0139/artfynd/A 34890-2018 artfynd.xlsx", "A 34890-2018")</f>
        <v/>
      </c>
      <c r="T2">
        <f>HYPERLINK("https://klasma.github.io/Logging_0139/kartor/A 34890-2018 karta.png", "A 34890-2018")</f>
        <v/>
      </c>
      <c r="V2">
        <f>HYPERLINK("https://klasma.github.io/Logging_0139/klagomål/A 34890-2018 FSC-klagomål.docx", "A 34890-2018")</f>
        <v/>
      </c>
      <c r="W2">
        <f>HYPERLINK("https://klasma.github.io/Logging_0139/klagomålsmail/A 34890-2018 FSC-klagomål mail.docx", "A 34890-2018")</f>
        <v/>
      </c>
      <c r="X2">
        <f>HYPERLINK("https://klasma.github.io/Logging_0139/tillsyn/A 34890-2018 tillsynsbegäran.docx", "A 34890-2018")</f>
        <v/>
      </c>
      <c r="Y2">
        <f>HYPERLINK("https://klasma.github.io/Logging_0139/tillsynsmail/A 34890-2018 tillsynsbegäran mail.docx", "A 34890-2018")</f>
        <v/>
      </c>
      <c r="Z2">
        <f>HYPERLINK("https://klasma.github.io/Logging_0139/fåglar/A 34890-2018 prioriterade fågelarter.docx", "A 34890-2018")</f>
        <v/>
      </c>
    </row>
    <row r="3" ht="15" customHeight="1">
      <c r="A3" t="inlineStr">
        <is>
          <t>A 20601-2022</t>
        </is>
      </c>
      <c r="B3" s="1" t="n">
        <v>44700</v>
      </c>
      <c r="C3" s="1" t="n">
        <v>45353</v>
      </c>
      <c r="D3" t="inlineStr">
        <is>
          <t>STOCKHOLMS LÄN</t>
        </is>
      </c>
      <c r="E3" t="inlineStr">
        <is>
          <t>UPPLANDS-BRO</t>
        </is>
      </c>
      <c r="G3" t="n">
        <v>3</v>
      </c>
      <c r="H3" t="n">
        <v>12</v>
      </c>
      <c r="I3" t="n">
        <v>0</v>
      </c>
      <c r="J3" t="n">
        <v>10</v>
      </c>
      <c r="K3" t="n">
        <v>1</v>
      </c>
      <c r="L3" t="n">
        <v>2</v>
      </c>
      <c r="M3" t="n">
        <v>0</v>
      </c>
      <c r="N3" t="n">
        <v>0</v>
      </c>
      <c r="O3" t="n">
        <v>13</v>
      </c>
      <c r="P3" t="n">
        <v>3</v>
      </c>
      <c r="Q3" t="n">
        <v>15</v>
      </c>
      <c r="R3" s="2" t="inlineStr">
        <is>
          <t>Grönfink
Tornseglare
Gråtrut
Bredbrämad bastardsvärmare
Entita
Grönsångare
Gulsparv
Kråka
Mindre bastardsvärmare
Mindre hackspett
Sexfläckig bastardsvärmare
Spillkråka
Talltita
Huggorm
Kopparödla</t>
        </is>
      </c>
      <c r="S3">
        <f>HYPERLINK("https://klasma.github.io/Logging_0139/artfynd/A 20601-2022 artfynd.xlsx", "A 20601-2022")</f>
        <v/>
      </c>
      <c r="T3">
        <f>HYPERLINK("https://klasma.github.io/Logging_0139/kartor/A 20601-2022 karta.png", "A 20601-2022")</f>
        <v/>
      </c>
      <c r="V3">
        <f>HYPERLINK("https://klasma.github.io/Logging_0139/klagomål/A 20601-2022 FSC-klagomål.docx", "A 20601-2022")</f>
        <v/>
      </c>
      <c r="W3">
        <f>HYPERLINK("https://klasma.github.io/Logging_0139/klagomålsmail/A 20601-2022 FSC-klagomål mail.docx", "A 20601-2022")</f>
        <v/>
      </c>
      <c r="X3">
        <f>HYPERLINK("https://klasma.github.io/Logging_0139/tillsyn/A 20601-2022 tillsynsbegäran.docx", "A 20601-2022")</f>
        <v/>
      </c>
      <c r="Y3">
        <f>HYPERLINK("https://klasma.github.io/Logging_0139/tillsynsmail/A 20601-2022 tillsynsbegäran mail.docx", "A 20601-2022")</f>
        <v/>
      </c>
      <c r="Z3">
        <f>HYPERLINK("https://klasma.github.io/Logging_0139/fåglar/A 20601-2022 prioriterade fågelarter.docx", "A 20601-2022")</f>
        <v/>
      </c>
    </row>
    <row r="4" ht="15" customHeight="1">
      <c r="A4" t="inlineStr">
        <is>
          <t>A 55773-2023</t>
        </is>
      </c>
      <c r="B4" s="1" t="n">
        <v>45232</v>
      </c>
      <c r="C4" s="1" t="n">
        <v>45353</v>
      </c>
      <c r="D4" t="inlineStr">
        <is>
          <t>STOCKHOLMS LÄN</t>
        </is>
      </c>
      <c r="E4" t="inlineStr">
        <is>
          <t>UPPLANDS-BRO</t>
        </is>
      </c>
      <c r="G4" t="n">
        <v>4.9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Flattoppad klubbsvamp
Fyrflikig jordstjärna
Grantaggsvamp
Fjällig taggsvamp s.str.
Kamjordstjärna
Skarp dropptaggsvamp
Svavelriska
Zontaggsvamp
Kopparödla
Nattviol</t>
        </is>
      </c>
      <c r="S4">
        <f>HYPERLINK("https://klasma.github.io/Logging_0139/artfynd/A 55773-2023 artfynd.xlsx", "A 55773-2023")</f>
        <v/>
      </c>
      <c r="T4">
        <f>HYPERLINK("https://klasma.github.io/Logging_0139/kartor/A 55773-2023 karta.png", "A 55773-2023")</f>
        <v/>
      </c>
      <c r="V4">
        <f>HYPERLINK("https://klasma.github.io/Logging_0139/klagomål/A 55773-2023 FSC-klagomål.docx", "A 55773-2023")</f>
        <v/>
      </c>
      <c r="W4">
        <f>HYPERLINK("https://klasma.github.io/Logging_0139/klagomålsmail/A 55773-2023 FSC-klagomål mail.docx", "A 55773-2023")</f>
        <v/>
      </c>
      <c r="X4">
        <f>HYPERLINK("https://klasma.github.io/Logging_0139/tillsyn/A 55773-2023 tillsynsbegäran.docx", "A 55773-2023")</f>
        <v/>
      </c>
      <c r="Y4">
        <f>HYPERLINK("https://klasma.github.io/Logging_0139/tillsynsmail/A 55773-2023 tillsynsbegäran mail.docx", "A 55773-2023")</f>
        <v/>
      </c>
    </row>
    <row r="5" ht="15" customHeight="1">
      <c r="A5" t="inlineStr">
        <is>
          <t>A 31366-2021</t>
        </is>
      </c>
      <c r="B5" s="1" t="n">
        <v>44368</v>
      </c>
      <c r="C5" s="1" t="n">
        <v>45353</v>
      </c>
      <c r="D5" t="inlineStr">
        <is>
          <t>STOCKHOLMS LÄN</t>
        </is>
      </c>
      <c r="E5" t="inlineStr">
        <is>
          <t>UPPLANDS-BRO</t>
        </is>
      </c>
      <c r="G5" t="n">
        <v>8.5</v>
      </c>
      <c r="H5" t="n">
        <v>2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Klotsporig murkla
Motaggsvamp
Spillkråka
Blåmossa
Rödbrun jordstjärna
Stubbspretmossa
Svavelriska
Thomsons trägnagare
Blåsippa</t>
        </is>
      </c>
      <c r="S5">
        <f>HYPERLINK("https://klasma.github.io/Logging_0139/artfynd/A 31366-2021 artfynd.xlsx", "A 31366-2021")</f>
        <v/>
      </c>
      <c r="T5">
        <f>HYPERLINK("https://klasma.github.io/Logging_0139/kartor/A 31366-2021 karta.png", "A 31366-2021")</f>
        <v/>
      </c>
      <c r="V5">
        <f>HYPERLINK("https://klasma.github.io/Logging_0139/klagomål/A 31366-2021 FSC-klagomål.docx", "A 31366-2021")</f>
        <v/>
      </c>
      <c r="W5">
        <f>HYPERLINK("https://klasma.github.io/Logging_0139/klagomålsmail/A 31366-2021 FSC-klagomål mail.docx", "A 31366-2021")</f>
        <v/>
      </c>
      <c r="X5">
        <f>HYPERLINK("https://klasma.github.io/Logging_0139/tillsyn/A 31366-2021 tillsynsbegäran.docx", "A 31366-2021")</f>
        <v/>
      </c>
      <c r="Y5">
        <f>HYPERLINK("https://klasma.github.io/Logging_0139/tillsynsmail/A 31366-2021 tillsynsbegäran mail.docx", "A 31366-2021")</f>
        <v/>
      </c>
      <c r="Z5">
        <f>HYPERLINK("https://klasma.github.io/Logging_0139/fåglar/A 31366-2021 prioriterade fågelarter.docx", "A 31366-2021")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45353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45353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45353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45353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45353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45353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45353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45353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45353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11906-2019</t>
        </is>
      </c>
      <c r="B15" s="1" t="n">
        <v>43521</v>
      </c>
      <c r="C15" s="1" t="n">
        <v>45353</v>
      </c>
      <c r="D15" t="inlineStr">
        <is>
          <t>STOCKHOLMS LÄN</t>
        </is>
      </c>
      <c r="E15" t="inlineStr">
        <is>
          <t>UPPLANDS-BRO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16815-2019</t>
        </is>
      </c>
      <c r="B16" s="1" t="n">
        <v>43549</v>
      </c>
      <c r="C16" s="1" t="n">
        <v>45353</v>
      </c>
      <c r="D16" t="inlineStr">
        <is>
          <t>STOCKHOLMS LÄN</t>
        </is>
      </c>
      <c r="E16" t="inlineStr">
        <is>
          <t>UPPLANDS-BRO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28481-2019</t>
        </is>
      </c>
      <c r="B17" s="1" t="n">
        <v>43614</v>
      </c>
      <c r="C17" s="1" t="n">
        <v>45353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45353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45353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45353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45353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45353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45353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45353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45353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45353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45353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45353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45353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45353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45353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45353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45353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45353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45353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45353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45353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45353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45353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45353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45353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45353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45353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45353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45353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45353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45353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45353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45353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45353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45353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45353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45353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45353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45353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45353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45353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45353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45353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45353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45353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45353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45353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45353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45353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45353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45353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45353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45353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45353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45353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45353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45353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45353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45353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45353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45353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45353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45353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45353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45353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45353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45353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45353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45353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45353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45353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45353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45353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45353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45353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45353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45353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45353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45353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45353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45353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45353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45353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45353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45353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45353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45353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45353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45353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45353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45353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45353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64110-2023</t>
        </is>
      </c>
      <c r="B109" s="1" t="n">
        <v>45279</v>
      </c>
      <c r="C109" s="1" t="n">
        <v>45353</v>
      </c>
      <c r="D109" t="inlineStr">
        <is>
          <t>STOCKHOLMS LÄN</t>
        </is>
      </c>
      <c r="E109" t="inlineStr">
        <is>
          <t>UPPLANDS-BRO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64114-2023</t>
        </is>
      </c>
      <c r="B110" s="1" t="n">
        <v>45279</v>
      </c>
      <c r="C110" s="1" t="n">
        <v>45353</v>
      </c>
      <c r="D110" t="inlineStr">
        <is>
          <t>STOCKHOLMS LÄN</t>
        </is>
      </c>
      <c r="E110" t="inlineStr">
        <is>
          <t>UPPLANDS-BRO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45353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45353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45353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45353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2594-2024</t>
        </is>
      </c>
      <c r="B115" s="1" t="n">
        <v>45313</v>
      </c>
      <c r="C115" s="1" t="n">
        <v>45353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45353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45353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6256-2024</t>
        </is>
      </c>
      <c r="B118" s="1" t="n">
        <v>45337</v>
      </c>
      <c r="C118" s="1" t="n">
        <v>45353</v>
      </c>
      <c r="D118" t="inlineStr">
        <is>
          <t>STOCKHOLMS LÄN</t>
        </is>
      </c>
      <c r="E118" t="inlineStr">
        <is>
          <t>UPPLANDS-BRO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6257-2024</t>
        </is>
      </c>
      <c r="B119" s="1" t="n">
        <v>45337</v>
      </c>
      <c r="C119" s="1" t="n">
        <v>45353</v>
      </c>
      <c r="D119" t="inlineStr">
        <is>
          <t>STOCKHOLMS LÄN</t>
        </is>
      </c>
      <c r="E119" t="inlineStr">
        <is>
          <t>UPPLANDS-BRO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7860-2024</t>
        </is>
      </c>
      <c r="B120" s="1" t="n">
        <v>45348</v>
      </c>
      <c r="C120" s="1" t="n">
        <v>45353</v>
      </c>
      <c r="D120" t="inlineStr">
        <is>
          <t>STOCKHOLMS LÄN</t>
        </is>
      </c>
      <c r="E120" t="inlineStr">
        <is>
          <t>UPPLANDS-BRO</t>
        </is>
      </c>
      <c r="F120" t="inlineStr">
        <is>
          <t>Övriga statliga verk och myndigheter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2024-03-02T13:11:55Z</dcterms:created>
  <dcterms:modified xmlns:dcterms="http://purl.org/dc/terms/" xmlns:xsi="http://www.w3.org/2001/XMLSchema-instance" xsi:type="dcterms:W3CDTF">2024-03-02T13:11:55Z</dcterms:modified>
</cp:coreProperties>
</file>