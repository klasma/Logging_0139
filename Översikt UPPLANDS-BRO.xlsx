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46254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46254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46254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46254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46254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46254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46254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46254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46254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46254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Kopparödla</t>
        </is>
      </c>
      <c r="W11">
        <f>HYPERLINK("https://klasma.github.io/Logging_0139/artfynd/A 73773-2021 artfynd.xlsx", "A 73773-2021")</f>
        <v/>
      </c>
      <c r="X11">
        <f>HYPERLINK("https://klasma.github.io/Logging_0139/kartor/A 73773-2021 karta.png", "A 73773-2021")</f>
        <v/>
      </c>
      <c r="Y11">
        <f>HYPERLINK("https://klasma.github.io/Logging_0139/kartor_geotiff/A 73773-2021 georefererad karta.tif", "A 73773-2021")</f>
        <v/>
      </c>
      <c r="AA11">
        <f>HYPERLINK("https://klasma.github.io/Logging_0139/klagomål/A 73773-2021 FSC-klagomål.docx", "A 73773-2021")</f>
        <v/>
      </c>
      <c r="AB11">
        <f>HYPERLINK("https://klasma.github.io/Logging_0139/klagomålsmail/A 73773-2021 FSC-klagomål mail.docx", "A 73773-2021")</f>
        <v/>
      </c>
      <c r="AC11">
        <f>HYPERLINK("https://klasma.github.io/Logging_0139/tillsyn/A 73773-2021 tillsynsbegäran.docx", "A 73773-2021")</f>
        <v/>
      </c>
      <c r="AD11">
        <f>HYPERLINK("https://klasma.github.io/Logging_0139/tillsynsmail/A 73773-2021 tillsynsbegäran mail.docx", "A 73773-2021")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46254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46254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46254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26637-2026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46254</v>
      </c>
      <c r="F15" t="inlineStr">
        <is>
          <t>STOCKHOLMS LÄN</t>
        </is>
      </c>
      <c r="G15" t="inlineStr">
        <is>
          <t>UPPLANDS-BRO</t>
        </is>
      </c>
      <c r="I15" t="n">
        <v>5.4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HYPERLINK("https://klasma.github.io/Logging_0139/artfynd/A 26637-2026 artfynd.xlsx", "A 26637-2026")</f>
        <v/>
      </c>
      <c r="X15">
        <f>HYPERLINK("https://klasma.github.io/Logging_0139/kartor/A 26637-2026 karta.png", "A 26637-2026")</f>
        <v/>
      </c>
      <c r="Y15">
        <f>HYPERLINK("https://klasma.github.io/Logging_0139/kartor_geotiff/A 26637-2026 georefererad karta.tif", "A 26637-2026")</f>
        <v/>
      </c>
      <c r="AA15">
        <f>HYPERLINK("https://klasma.github.io/Logging_0139/klagomål/A 26637-2026 FSC-klagomål.docx", "A 26637-2026")</f>
        <v/>
      </c>
      <c r="AB15">
        <f>HYPERLINK("https://klasma.github.io/Logging_0139/klagomålsmail/A 26637-2026 FSC-klagomål mail.docx", "A 26637-2026")</f>
        <v/>
      </c>
      <c r="AC15">
        <f>HYPERLINK("https://klasma.github.io/Logging_0139/tillsyn/A 26637-2026 tillsynsbegäran.docx", "A 26637-2026")</f>
        <v/>
      </c>
      <c r="AD15">
        <f>HYPERLINK("https://klasma.github.io/Logging_0139/tillsynsmail/A 26637-2026 tillsynsbegäran mail.docx", "A 26637-2026")</f>
        <v/>
      </c>
    </row>
    <row r="16" ht="15" customHeight="1">
      <c r="A16" t="inlineStr">
        <is>
          <t>A 26623-2026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46254</v>
      </c>
      <c r="F16" t="inlineStr">
        <is>
          <t>STOCKHOLMS LÄN</t>
        </is>
      </c>
      <c r="G16" t="inlineStr">
        <is>
          <t>UPPLANDS-BRO</t>
        </is>
      </c>
      <c r="I16" t="n">
        <v>4.6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Svartöra</t>
        </is>
      </c>
      <c r="W16">
        <f>HYPERLINK("https://klasma.github.io/Logging_0139/artfynd/A 26623-2026 artfynd.xlsx", "A 26623-2026")</f>
        <v/>
      </c>
      <c r="X16">
        <f>HYPERLINK("https://klasma.github.io/Logging_0139/kartor/A 26623-2026 karta.png", "A 26623-2026")</f>
        <v/>
      </c>
      <c r="Y16">
        <f>HYPERLINK("https://klasma.github.io/Logging_0139/kartor_geotiff/A 26623-2026 georefererad karta.tif", "A 26623-2026")</f>
        <v/>
      </c>
      <c r="AA16">
        <f>HYPERLINK("https://klasma.github.io/Logging_0139/klagomål/A 26623-2026 FSC-klagomål.docx", "A 26623-2026")</f>
        <v/>
      </c>
      <c r="AB16">
        <f>HYPERLINK("https://klasma.github.io/Logging_0139/klagomålsmail/A 26623-2026 FSC-klagomål mail.docx", "A 26623-2026")</f>
        <v/>
      </c>
      <c r="AC16">
        <f>HYPERLINK("https://klasma.github.io/Logging_0139/tillsyn/A 26623-2026 tillsynsbegäran.docx", "A 26623-2026")</f>
        <v/>
      </c>
      <c r="AD16">
        <f>HYPERLINK("https://klasma.github.io/Logging_0139/tillsynsmail/A 26623-2026 tillsynsbegäran mail.docx", "A 26623-2026")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46254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53357-2025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45959</v>
      </c>
      <c r="E18" s="1" t="n">
        <v>46254</v>
      </c>
      <c r="F18" t="inlineStr">
        <is>
          <t>STOCKHOLMS LÄN</t>
        </is>
      </c>
      <c r="G18" t="inlineStr">
        <is>
          <t>UPPLANDS-BRO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Bombmurkla</t>
        </is>
      </c>
      <c r="W18">
        <f>HYPERLINK("https://klasma.github.io/Logging_0139/artfynd/A 53357-2025 artfynd.xlsx", "A 53357-2025")</f>
        <v/>
      </c>
      <c r="X18">
        <f>HYPERLINK("https://klasma.github.io/Logging_0139/kartor/A 53357-2025 karta.png", "A 53357-2025")</f>
        <v/>
      </c>
      <c r="Y18">
        <f>HYPERLINK("https://klasma.github.io/Logging_0139/kartor_geotiff/A 53357-2025 georefererad karta.tif", "A 53357-2025")</f>
        <v/>
      </c>
      <c r="AA18">
        <f>HYPERLINK("https://klasma.github.io/Logging_0139/klagomål/A 53357-2025 FSC-klagomål.docx", "A 53357-2025")</f>
        <v/>
      </c>
      <c r="AB18">
        <f>HYPERLINK("https://klasma.github.io/Logging_0139/klagomålsmail/A 53357-2025 FSC-klagomål mail.docx", "A 53357-2025")</f>
        <v/>
      </c>
      <c r="AC18">
        <f>HYPERLINK("https://klasma.github.io/Logging_0139/tillsyn/A 53357-2025 tillsynsbegäran.docx", "A 53357-2025")</f>
        <v/>
      </c>
      <c r="AD18">
        <f>HYPERLINK("https://klasma.github.io/Logging_0139/tillsynsmail/A 53357-2025 tillsynsbegäran mail.docx", "A 53357-2025")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46254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2409-2026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46034</v>
      </c>
      <c r="E20" s="1" t="n">
        <v>46254</v>
      </c>
      <c r="F20" t="inlineStr">
        <is>
          <t>STOCKHOLMS LÄN</t>
        </is>
      </c>
      <c r="G20" t="inlineStr">
        <is>
          <t>UPPLANDS-BRO</t>
        </is>
      </c>
      <c r="I20" t="n">
        <v>14.2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HYPERLINK("https://klasma.github.io/Logging_0139/artfynd/A 2409-2026 artfynd.xlsx", "A 2409-2026")</f>
        <v/>
      </c>
      <c r="X20">
        <f>HYPERLINK("https://klasma.github.io/Logging_0139/kartor/A 2409-2026 karta.png", "A 2409-2026")</f>
        <v/>
      </c>
      <c r="Y20">
        <f>HYPERLINK("https://klasma.github.io/Logging_0139/kartor_geotiff/A 2409-2026 georefererad karta.tif", "A 2409-2026")</f>
        <v/>
      </c>
      <c r="AA20">
        <f>HYPERLINK("https://klasma.github.io/Logging_0139/klagomål/A 2409-2026 FSC-klagomål.docx", "A 2409-2026")</f>
        <v/>
      </c>
      <c r="AB20">
        <f>HYPERLINK("https://klasma.github.io/Logging_0139/klagomålsmail/A 2409-2026 FSC-klagomål mail.docx", "A 2409-2026")</f>
        <v/>
      </c>
      <c r="AC20">
        <f>HYPERLINK("https://klasma.github.io/Logging_0139/tillsyn/A 2409-2026 tillsynsbegäran.docx", "A 2409-2026")</f>
        <v/>
      </c>
      <c r="AD20">
        <f>HYPERLINK("https://klasma.github.io/Logging_0139/tillsynsmail/A 2409-2026 tillsynsbegäran mail.docx", "A 2409-2026")</f>
        <v/>
      </c>
      <c r="AE20">
        <f>HYPERLINK("https://klasma.github.io/Logging_0139/fåglar/A 2409-2026 prioriterade fågelarter.docx", "A 2409-2026")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46254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46254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46254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46254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46254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46254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46254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46254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46254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46254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46254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46254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45313</v>
      </c>
      <c r="E33" s="1" t="n">
        <v>46254</v>
      </c>
      <c r="F33" t="inlineStr">
        <is>
          <t>STOCKHOLMS LÄN</t>
        </is>
      </c>
      <c r="G33" t="inlineStr">
        <is>
          <t>UPPLANDS-BRO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59844-2022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46254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46254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44950</v>
      </c>
      <c r="E36" s="1" t="n">
        <v>46254</v>
      </c>
      <c r="F36" t="inlineStr">
        <is>
          <t>STOCKHOLMS LÄN</t>
        </is>
      </c>
      <c r="G36" t="inlineStr">
        <is>
          <t>UPPLANDS-BRO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45225</v>
      </c>
      <c r="E37" s="1" t="n">
        <v>46254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7860-2024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46254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46254</v>
      </c>
      <c r="F39" t="inlineStr">
        <is>
          <t>STOCKHOLMS LÄN</t>
        </is>
      </c>
      <c r="G39" t="inlineStr">
        <is>
          <t>UPPLANDS-BRO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46254</v>
      </c>
      <c r="F40" t="inlineStr">
        <is>
          <t>STOCKHOLMS LÄN</t>
        </is>
      </c>
      <c r="G40" t="inlineStr">
        <is>
          <t>UPPLANDS-BRO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46254</v>
      </c>
      <c r="F41" t="inlineStr">
        <is>
          <t>STOCKHOLMS LÄN</t>
        </is>
      </c>
      <c r="G41" t="inlineStr">
        <is>
          <t>UPPLANDS-BRO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58011-2021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44487</v>
      </c>
      <c r="E42" s="1" t="n">
        <v>46254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46254</v>
      </c>
      <c r="F43" t="inlineStr">
        <is>
          <t>STOCKHOLMS LÄN</t>
        </is>
      </c>
      <c r="G43" t="inlineStr">
        <is>
          <t>UPPLANDS-BRO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21206-2026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46254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46254</v>
      </c>
      <c r="F45" t="inlineStr">
        <is>
          <t>STOCKHOLMS LÄN</t>
        </is>
      </c>
      <c r="G45" t="inlineStr">
        <is>
          <t>UPPLANDS-BRO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46254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46254</v>
      </c>
      <c r="F47" t="inlineStr">
        <is>
          <t>STOCKHOLMS LÄN</t>
        </is>
      </c>
      <c r="G47" t="inlineStr">
        <is>
          <t>UPPLANDS-BRO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46254</v>
      </c>
      <c r="F48" t="inlineStr">
        <is>
          <t>STOCKHOLMS LÄN</t>
        </is>
      </c>
      <c r="G48" t="inlineStr">
        <is>
          <t>UPPLANDS-BRO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44906</v>
      </c>
      <c r="E49" s="1" t="n">
        <v>46254</v>
      </c>
      <c r="F49" t="inlineStr">
        <is>
          <t>STOCKHOLMS LÄN</t>
        </is>
      </c>
      <c r="G49" t="inlineStr">
        <is>
          <t>UPPLANDS-BRO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31160-2022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44770</v>
      </c>
      <c r="E50" s="1" t="n">
        <v>46254</v>
      </c>
      <c r="F50" t="inlineStr">
        <is>
          <t>STOCKHOLMS LÄN</t>
        </is>
      </c>
      <c r="G50" t="inlineStr">
        <is>
          <t>UPPLANDS-BRO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58598-2025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45986</v>
      </c>
      <c r="E51" s="1" t="n">
        <v>46254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26196-2026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46182</v>
      </c>
      <c r="E52" s="1" t="n">
        <v>46254</v>
      </c>
      <c r="F52" t="inlineStr">
        <is>
          <t>STOCKHOLMS LÄN</t>
        </is>
      </c>
      <c r="G52" t="inlineStr">
        <is>
          <t>UPPLANDS-BRO</t>
        </is>
      </c>
      <c r="I52" t="n">
        <v>53.1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26633-2026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46254</v>
      </c>
      <c r="F53" t="inlineStr">
        <is>
          <t>STOCKHOLMS LÄN</t>
        </is>
      </c>
      <c r="G53" t="inlineStr">
        <is>
          <t>UPPLANDS-BRO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46254</v>
      </c>
      <c r="F54" t="inlineStr">
        <is>
          <t>STOCKHOLMS LÄN</t>
        </is>
      </c>
      <c r="G54" t="inlineStr">
        <is>
          <t>UPPLANDS-BRO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46226</v>
      </c>
      <c r="E55" s="1" t="n">
        <v>46254</v>
      </c>
      <c r="F55" t="inlineStr">
        <is>
          <t>STOCKHOLMS LÄN</t>
        </is>
      </c>
      <c r="G55" t="inlineStr">
        <is>
          <t>UPPLANDS-BRO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46254</v>
      </c>
      <c r="F56" t="inlineStr">
        <is>
          <t>STOCKHOLMS LÄN</t>
        </is>
      </c>
      <c r="G56" t="inlineStr">
        <is>
          <t>UPPLANDS-BRO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46254</v>
      </c>
      <c r="F57" t="inlineStr">
        <is>
          <t>STOCKHOLMS LÄN</t>
        </is>
      </c>
      <c r="G57" t="inlineStr">
        <is>
          <t>UPPLANDS-BRO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46043</v>
      </c>
      <c r="E58" s="1" t="n">
        <v>46254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46254</v>
      </c>
      <c r="F59" t="inlineStr">
        <is>
          <t>STOCKHOLMS LÄN</t>
        </is>
      </c>
      <c r="G59" t="inlineStr">
        <is>
          <t>UPPLANDS-BRO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46254</v>
      </c>
      <c r="F60" t="inlineStr">
        <is>
          <t>STOCKHOLMS LÄN</t>
        </is>
      </c>
      <c r="G60" t="inlineStr">
        <is>
          <t>UPPLANDS-BRO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46254</v>
      </c>
      <c r="F61" t="inlineStr">
        <is>
          <t>STOCKHOLMS LÄN</t>
        </is>
      </c>
      <c r="G61" t="inlineStr">
        <is>
          <t>UPPLANDS-BRO</t>
        </is>
      </c>
      <c r="H61" t="inlineStr">
        <is>
          <t>Allmännings- och besparingsskogar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46254</v>
      </c>
      <c r="F62" t="inlineStr">
        <is>
          <t>STOCKHOLMS LÄN</t>
        </is>
      </c>
      <c r="G62" t="inlineStr">
        <is>
          <t>UPPLANDS-BRO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33058-2026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46245</v>
      </c>
      <c r="E63" s="1" t="n">
        <v>46254</v>
      </c>
      <c r="F63" t="inlineStr">
        <is>
          <t>STOCKHOLMS LÄN</t>
        </is>
      </c>
      <c r="G63" t="inlineStr">
        <is>
          <t>UPPLANDS-BRO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46254</v>
      </c>
      <c r="F64" t="inlineStr">
        <is>
          <t>STOCKHOLMS LÄN</t>
        </is>
      </c>
      <c r="G64" t="inlineStr">
        <is>
          <t>UPPLANDS-BRO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46254</v>
      </c>
      <c r="F65" t="inlineStr">
        <is>
          <t>STOCKHOLMS LÄN</t>
        </is>
      </c>
      <c r="G65" t="inlineStr">
        <is>
          <t>UPPLANDS-BRO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59848-2022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44901</v>
      </c>
      <c r="E66" s="1" t="n">
        <v>46254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46254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46254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46254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9.6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45279</v>
      </c>
      <c r="E70" s="1" t="n">
        <v>46254</v>
      </c>
      <c r="F70" t="inlineStr">
        <is>
          <t>STOCKHOLMS LÄN</t>
        </is>
      </c>
      <c r="G70" t="inlineStr">
        <is>
          <t>UPPLANDS-BRO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46128</v>
      </c>
      <c r="E71" s="1" t="n">
        <v>46254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18813-2026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46128</v>
      </c>
      <c r="E72" s="1" t="n">
        <v>46254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56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46254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17.8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46128</v>
      </c>
      <c r="E74" s="1" t="n">
        <v>46254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46254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46254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46254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46254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46254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2026-08-20T01:45:32Z</dcterms:created>
  <dcterms:modified xmlns:dcterms="http://purl.org/dc/terms/" xmlns:xsi="http://www.w3.org/2001/XMLSchema-instance" xsi:type="dcterms:W3CDTF">2026-08-20T01:45:32Z</dcterms:modified>
</cp:coreProperties>
</file>