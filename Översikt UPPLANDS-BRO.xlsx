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56756-2021</t>
        </is>
      </c>
      <c r="B2" s="1" t="n">
        <v>44481</v>
      </c>
      <c r="C2" s="1" t="n">
        <v>46200</v>
      </c>
      <c r="D2" t="inlineStr">
        <is>
          <t>STOCKHOLMS LÄN</t>
        </is>
      </c>
      <c r="E2" t="inlineStr">
        <is>
          <t>UPPLANDS-BRO</t>
        </is>
      </c>
      <c r="G2" t="n">
        <v>1.1</v>
      </c>
      <c r="H2" t="n">
        <v>5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Spillkråka
Tallbit
Grönsiska
Kungsfågel</t>
        </is>
      </c>
      <c r="S2">
        <f>HYPERLINK("https://klasma.github.io/Logging_0139/artfynd/A 56756-2021 artfynd.xlsx", "A 56756-2021")</f>
        <v/>
      </c>
      <c r="T2">
        <f>HYPERLINK("https://klasma.github.io/Logging_0139/kartor/A 56756-2021 karta.png", "A 56756-2021")</f>
        <v/>
      </c>
      <c r="V2">
        <f>HYPERLINK("https://klasma.github.io/Logging_0139/klagomål/A 56756-2021 FSC-klagomål.docx", "A 56756-2021")</f>
        <v/>
      </c>
      <c r="W2">
        <f>HYPERLINK("https://klasma.github.io/Logging_0139/klagomålsmail/A 56756-2021 FSC-klagomål mail.docx", "A 56756-2021")</f>
        <v/>
      </c>
      <c r="X2">
        <f>HYPERLINK("https://klasma.github.io/Logging_0139/tillsyn/A 56756-2021 tillsynsbegäran.docx", "A 56756-2021")</f>
        <v/>
      </c>
      <c r="Y2">
        <f>HYPERLINK("https://klasma.github.io/Logging_0139/tillsynsmail/A 56756-2021 tillsynsbegäran mail.docx", "A 56756-2021")</f>
        <v/>
      </c>
      <c r="Z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46200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Blek fingersvamp
Dofttaggsvamp
Skarp dropptaggsvamp
Svartvit 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46200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s="1" t="n">
        <v>45232</v>
      </c>
      <c r="C5" s="1" t="n">
        <v>46200</v>
      </c>
      <c r="D5" t="inlineStr">
        <is>
          <t>STOCKHOLMS LÄN</t>
        </is>
      </c>
      <c r="E5" t="inlineStr">
        <is>
          <t>UPPLANDS-BRO</t>
        </is>
      </c>
      <c r="F5" t="inlineStr">
        <is>
          <t>Övriga statliga verk och myndigheter</t>
        </is>
      </c>
      <c r="G5" t="n">
        <v>38.9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Fyrflikig jordstjärna
Nästrot
Blåsippa</t>
        </is>
      </c>
      <c r="S5">
        <f>HYPERLINK("https://klasma.github.io/Logging_0139/artfynd/A 55586-2023 artfynd.xlsx", "A 55586-2023")</f>
        <v/>
      </c>
      <c r="T5">
        <f>HYPERLINK("https://klasma.github.io/Logging_0139/kartor/A 55586-2023 karta.png", "A 55586-2023")</f>
        <v/>
      </c>
      <c r="V5">
        <f>HYPERLINK("https://klasma.github.io/Logging_0139/klagomål/A 55586-2023 FSC-klagomål.docx", "A 55586-2023")</f>
        <v/>
      </c>
      <c r="W5">
        <f>HYPERLINK("https://klasma.github.io/Logging_0139/klagomålsmail/A 55586-2023 FSC-klagomål mail.docx", "A 55586-2023")</f>
        <v/>
      </c>
      <c r="X5">
        <f>HYPERLINK("https://klasma.github.io/Logging_0139/tillsyn/A 55586-2023 tillsynsbegäran.docx", "A 55586-2023")</f>
        <v/>
      </c>
      <c r="Y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46200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46200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46200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46200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11447-2025</t>
        </is>
      </c>
      <c r="B10" s="1" t="n">
        <v>45726</v>
      </c>
      <c r="C10" s="1" t="n">
        <v>46200</v>
      </c>
      <c r="D10" t="inlineStr">
        <is>
          <t>STOCKHOLMS LÄN</t>
        </is>
      </c>
      <c r="E10" t="inlineStr">
        <is>
          <t>UPPLANDS-BRO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Myskbock</t>
        </is>
      </c>
      <c r="S10">
        <f>HYPERLINK("https://klasma.github.io/Logging_0139/artfynd/A 11447-2025 artfynd.xlsx", "A 11447-2025")</f>
        <v/>
      </c>
      <c r="T10">
        <f>HYPERLINK("https://klasma.github.io/Logging_0139/kartor/A 11447-2025 karta.png", "A 11447-2025")</f>
        <v/>
      </c>
      <c r="V10">
        <f>HYPERLINK("https://klasma.github.io/Logging_0139/klagomål/A 11447-2025 FSC-klagomål.docx", "A 11447-2025")</f>
        <v/>
      </c>
      <c r="W10">
        <f>HYPERLINK("https://klasma.github.io/Logging_0139/klagomålsmail/A 11447-2025 FSC-klagomål mail.docx", "A 11447-2025")</f>
        <v/>
      </c>
      <c r="X10">
        <f>HYPERLINK("https://klasma.github.io/Logging_0139/tillsyn/A 11447-2025 tillsynsbegäran.docx", "A 11447-2025")</f>
        <v/>
      </c>
      <c r="Y10">
        <f>HYPERLINK("https://klasma.github.io/Logging_0139/tillsynsmail/A 11447-2025 tillsynsbegäran mail.docx", "A 11447-2025")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46200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46200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46200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s="1" t="n">
        <v>45197</v>
      </c>
      <c r="C14" s="1" t="n">
        <v>46200</v>
      </c>
      <c r="D14" t="inlineStr">
        <is>
          <t>STOCKHOLMS LÄN</t>
        </is>
      </c>
      <c r="E14" t="inlineStr">
        <is>
          <t>UPPLANDS-BRO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46438-2023 artfynd.xlsx", "A 46438-2023")</f>
        <v/>
      </c>
      <c r="T14">
        <f>HYPERLINK("https://klasma.github.io/Logging_0139/kartor/A 46438-2023 karta.png", "A 46438-2023")</f>
        <v/>
      </c>
      <c r="V14">
        <f>HYPERLINK("https://klasma.github.io/Logging_0139/klagomål/A 46438-2023 FSC-klagomål.docx", "A 46438-2023")</f>
        <v/>
      </c>
      <c r="W14">
        <f>HYPERLINK("https://klasma.github.io/Logging_0139/klagomålsmail/A 46438-2023 FSC-klagomål mail.docx", "A 46438-2023")</f>
        <v/>
      </c>
      <c r="X14">
        <f>HYPERLINK("https://klasma.github.io/Logging_0139/tillsyn/A 46438-2023 tillsynsbegäran.docx", "A 46438-2023")</f>
        <v/>
      </c>
      <c r="Y14">
        <f>HYPERLINK("https://klasma.github.io/Logging_0139/tillsynsmail/A 46438-2023 tillsynsbegäran mail.docx", "A 46438-2023")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46200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2062-2025</t>
        </is>
      </c>
      <c r="B16" s="1" t="n">
        <v>45671</v>
      </c>
      <c r="C16" s="1" t="n">
        <v>46200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HYPERLINK("https://klasma.github.io/Logging_0139/artfynd/A 2062-2025 artfynd.xlsx", "A 2062-2025")</f>
        <v/>
      </c>
      <c r="T16">
        <f>HYPERLINK("https://klasma.github.io/Logging_0139/kartor/A 2062-2025 karta.png", "A 2062-2025")</f>
        <v/>
      </c>
      <c r="V16">
        <f>HYPERLINK("https://klasma.github.io/Logging_0139/klagomål/A 2062-2025 FSC-klagomål.docx", "A 2062-2025")</f>
        <v/>
      </c>
      <c r="W16">
        <f>HYPERLINK("https://klasma.github.io/Logging_0139/klagomålsmail/A 2062-2025 FSC-klagomål mail.docx", "A 2062-2025")</f>
        <v/>
      </c>
      <c r="X16">
        <f>HYPERLINK("https://klasma.github.io/Logging_0139/tillsyn/A 2062-2025 tillsynsbegäran.docx", "A 2062-2025")</f>
        <v/>
      </c>
      <c r="Y16">
        <f>HYPERLINK("https://klasma.github.io/Logging_0139/tillsynsmail/A 2062-2025 tillsynsbegäran mail.docx", "A 2062-2025")</f>
        <v/>
      </c>
      <c r="Z16">
        <f>HYPERLINK("https://klasma.github.io/Logging_0139/fåglar/A 2062-2025 prioriterade fågelarter.docx", "A 2062-2025")</f>
        <v/>
      </c>
    </row>
    <row r="17" ht="15" customHeight="1">
      <c r="A17" t="inlineStr">
        <is>
          <t>A 53357-2025</t>
        </is>
      </c>
      <c r="B17" s="1" t="n">
        <v>45959</v>
      </c>
      <c r="C17" s="1" t="n">
        <v>46200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12363-2025</t>
        </is>
      </c>
      <c r="B18" s="1" t="n">
        <v>45730</v>
      </c>
      <c r="C18" s="1" t="n">
        <v>46200</v>
      </c>
      <c r="D18" t="inlineStr">
        <is>
          <t>STOCKHOLMS LÄN</t>
        </is>
      </c>
      <c r="E18" t="inlineStr">
        <is>
          <t>UPPLANDS-BRO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HYPERLINK("https://klasma.github.io/Logging_0139/artfynd/A 12363-2025 artfynd.xlsx", "A 12363-2025")</f>
        <v/>
      </c>
      <c r="T18">
        <f>HYPERLINK("https://klasma.github.io/Logging_0139/kartor/A 12363-2025 karta.png", "A 12363-2025")</f>
        <v/>
      </c>
      <c r="V18">
        <f>HYPERLINK("https://klasma.github.io/Logging_0139/klagomål/A 12363-2025 FSC-klagomål.docx", "A 12363-2025")</f>
        <v/>
      </c>
      <c r="W18">
        <f>HYPERLINK("https://klasma.github.io/Logging_0139/klagomålsmail/A 12363-2025 FSC-klagomål mail.docx", "A 12363-2025")</f>
        <v/>
      </c>
      <c r="X18">
        <f>HYPERLINK("https://klasma.github.io/Logging_0139/tillsyn/A 12363-2025 tillsynsbegäran.docx", "A 12363-2025")</f>
        <v/>
      </c>
      <c r="Y18">
        <f>HYPERLINK("https://klasma.github.io/Logging_0139/tillsynsmail/A 12363-2025 tillsynsbegäran mail.docx", "A 12363-2025")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46200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2409-2026</t>
        </is>
      </c>
      <c r="B20" s="1" t="n">
        <v>46034</v>
      </c>
      <c r="C20" s="1" t="n">
        <v>46200</v>
      </c>
      <c r="D20" t="inlineStr">
        <is>
          <t>STOCKHOLMS LÄN</t>
        </is>
      </c>
      <c r="E20" t="inlineStr">
        <is>
          <t>UPPLANDS-BRO</t>
        </is>
      </c>
      <c r="G20" t="n">
        <v>14.2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HYPERLINK("https://klasma.github.io/Logging_0139/artfynd/A 2409-2026 artfynd.xlsx", "A 2409-2026")</f>
        <v/>
      </c>
      <c r="T20">
        <f>HYPERLINK("https://klasma.github.io/Logging_0139/kartor/A 2409-2026 karta.png", "A 2409-2026")</f>
        <v/>
      </c>
      <c r="V20">
        <f>HYPERLINK("https://klasma.github.io/Logging_0139/klagomål/A 2409-2026 FSC-klagomål.docx", "A 2409-2026")</f>
        <v/>
      </c>
      <c r="W20">
        <f>HYPERLINK("https://klasma.github.io/Logging_0139/klagomålsmail/A 2409-2026 FSC-klagomål mail.docx", "A 2409-2026")</f>
        <v/>
      </c>
      <c r="X20">
        <f>HYPERLINK("https://klasma.github.io/Logging_0139/tillsyn/A 2409-2026 tillsynsbegäran.docx", "A 2409-2026")</f>
        <v/>
      </c>
      <c r="Y20">
        <f>HYPERLINK("https://klasma.github.io/Logging_0139/tillsynsmail/A 2409-2026 tillsynsbegäran mail.docx", "A 2409-2026")</f>
        <v/>
      </c>
      <c r="Z20">
        <f>HYPERLINK("https://klasma.github.io/Logging_0139/fåglar/A 2409-2026 prioriterade fågelarter.docx", "A 2409-2026")</f>
        <v/>
      </c>
    </row>
    <row r="21" ht="15" customHeight="1">
      <c r="A21" t="inlineStr">
        <is>
          <t>A 26623-2026</t>
        </is>
      </c>
      <c r="B21" s="1" t="n">
        <v>46184</v>
      </c>
      <c r="C21" s="1" t="n">
        <v>46200</v>
      </c>
      <c r="D21" t="inlineStr">
        <is>
          <t>STOCKHOLMS LÄN</t>
        </is>
      </c>
      <c r="E21" t="inlineStr">
        <is>
          <t>UPPLANDS-BRO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Svartöra</t>
        </is>
      </c>
      <c r="S21">
        <f>HYPERLINK("https://klasma.github.io/Logging_0139/artfynd/A 26623-2026 artfynd.xlsx", "A 26623-2026")</f>
        <v/>
      </c>
      <c r="T21">
        <f>HYPERLINK("https://klasma.github.io/Logging_0139/kartor/A 26623-2026 karta.png", "A 26623-2026")</f>
        <v/>
      </c>
      <c r="V21">
        <f>HYPERLINK("https://klasma.github.io/Logging_0139/klagomål/A 26623-2026 FSC-klagomål.docx", "A 26623-2026")</f>
        <v/>
      </c>
      <c r="W21">
        <f>HYPERLINK("https://klasma.github.io/Logging_0139/klagomålsmail/A 26623-2026 FSC-klagomål mail.docx", "A 26623-2026")</f>
        <v/>
      </c>
      <c r="X21">
        <f>HYPERLINK("https://klasma.github.io/Logging_0139/tillsyn/A 26623-2026 tillsynsbegäran.docx", "A 26623-2026")</f>
        <v/>
      </c>
      <c r="Y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s="1" t="n">
        <v>46184</v>
      </c>
      <c r="C22" s="1" t="n">
        <v>46200</v>
      </c>
      <c r="D22" t="inlineStr">
        <is>
          <t>STOCKHOLMS LÄN</t>
        </is>
      </c>
      <c r="E22" t="inlineStr">
        <is>
          <t>UPPLANDS-BRO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HYPERLINK("https://klasma.github.io/Logging_0139/artfynd/A 26637-2026 artfynd.xlsx", "A 26637-2026")</f>
        <v/>
      </c>
      <c r="T22">
        <f>HYPERLINK("https://klasma.github.io/Logging_0139/kartor/A 26637-2026 karta.png", "A 26637-2026")</f>
        <v/>
      </c>
      <c r="V22">
        <f>HYPERLINK("https://klasma.github.io/Logging_0139/klagomål/A 26637-2026 FSC-klagomål.docx", "A 26637-2026")</f>
        <v/>
      </c>
      <c r="W22">
        <f>HYPERLINK("https://klasma.github.io/Logging_0139/klagomålsmail/A 26637-2026 FSC-klagomål mail.docx", "A 26637-2026")</f>
        <v/>
      </c>
      <c r="X22">
        <f>HYPERLINK("https://klasma.github.io/Logging_0139/tillsyn/A 26637-2026 tillsynsbegäran.docx", "A 26637-2026")</f>
        <v/>
      </c>
      <c r="Y22">
        <f>HYPERLINK("https://klasma.github.io/Logging_0139/tillsynsmail/A 26637-2026 tillsynsbegäran mail.docx", "A 26637-2026")</f>
        <v/>
      </c>
    </row>
    <row r="23" ht="15" customHeight="1">
      <c r="A23" t="inlineStr">
        <is>
          <t>A 37421-2021</t>
        </is>
      </c>
      <c r="B23" s="1" t="n">
        <v>44397</v>
      </c>
      <c r="C23" s="1" t="n">
        <v>46200</v>
      </c>
      <c r="D23" t="inlineStr">
        <is>
          <t>STOCKHOLMS LÄN</t>
        </is>
      </c>
      <c r="E23" t="inlineStr">
        <is>
          <t>UPPLANDS-BRO</t>
        </is>
      </c>
      <c r="F23" t="inlineStr">
        <is>
          <t>Allmännings- och besparingsskogar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41465-2021</t>
        </is>
      </c>
      <c r="B24" s="1" t="n">
        <v>44424</v>
      </c>
      <c r="C24" s="1" t="n">
        <v>46200</v>
      </c>
      <c r="D24" t="inlineStr">
        <is>
          <t>STOCKHOLMS LÄN</t>
        </is>
      </c>
      <c r="E24" t="inlineStr">
        <is>
          <t>UPPLANDS-BRO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8261-2022</t>
        </is>
      </c>
      <c r="B25" s="1" t="n">
        <v>44609</v>
      </c>
      <c r="C25" s="1" t="n">
        <v>46200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58663-2021</t>
        </is>
      </c>
      <c r="B26" s="1" t="n">
        <v>44489</v>
      </c>
      <c r="C26" s="1" t="n">
        <v>46200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72523-2021</t>
        </is>
      </c>
      <c r="B27" s="1" t="n">
        <v>44546</v>
      </c>
      <c r="C27" s="1" t="n">
        <v>46200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46200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3838-2022</t>
        </is>
      </c>
      <c r="B29" s="1" t="n">
        <v>44587</v>
      </c>
      <c r="C29" s="1" t="n">
        <v>46200</v>
      </c>
      <c r="D29" t="inlineStr">
        <is>
          <t>STOCKHOLMS LÄN</t>
        </is>
      </c>
      <c r="E29" t="inlineStr">
        <is>
          <t>UPPLANDS-BRO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36111-2021</t>
        </is>
      </c>
      <c r="B30" s="1" t="n">
        <v>44389</v>
      </c>
      <c r="C30" s="1" t="n">
        <v>46200</v>
      </c>
      <c r="D30" t="inlineStr">
        <is>
          <t>STOCKHOLMS LÄN</t>
        </is>
      </c>
      <c r="E30" t="inlineStr">
        <is>
          <t>UPPLANDS-BRO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46200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46200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46200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46200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46200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27313-2023</t>
        </is>
      </c>
      <c r="B36" s="1" t="n">
        <v>45096</v>
      </c>
      <c r="C36" s="1" t="n">
        <v>46200</v>
      </c>
      <c r="D36" t="inlineStr">
        <is>
          <t>STOCKHOLMS LÄN</t>
        </is>
      </c>
      <c r="E36" t="inlineStr">
        <is>
          <t>UPPLANDS-BRO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64114-2023</t>
        </is>
      </c>
      <c r="B37" s="1" t="n">
        <v>45279</v>
      </c>
      <c r="C37" s="1" t="n">
        <v>46200</v>
      </c>
      <c r="D37" t="inlineStr">
        <is>
          <t>STOCKHOLMS LÄN</t>
        </is>
      </c>
      <c r="E37" t="inlineStr">
        <is>
          <t>UPPLANDS-BRO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46200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46200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5264-2023</t>
        </is>
      </c>
      <c r="B40" s="1" t="n">
        <v>44959</v>
      </c>
      <c r="C40" s="1" t="n">
        <v>46200</v>
      </c>
      <c r="D40" t="inlineStr">
        <is>
          <t>STOCKHOLMS LÄN</t>
        </is>
      </c>
      <c r="E40" t="inlineStr">
        <is>
          <t>UPPLANDS-BRO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46200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58011-2021</t>
        </is>
      </c>
      <c r="B42" s="1" t="n">
        <v>44487</v>
      </c>
      <c r="C42" s="1" t="n">
        <v>46200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46200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49622-2021</t>
        </is>
      </c>
      <c r="B44" s="1" t="n">
        <v>44455</v>
      </c>
      <c r="C44" s="1" t="n">
        <v>46200</v>
      </c>
      <c r="D44" t="inlineStr">
        <is>
          <t>STOCKHOLMS LÄN</t>
        </is>
      </c>
      <c r="E44" t="inlineStr">
        <is>
          <t>UPPLANDS-BRO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46200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46200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46200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72524-2021</t>
        </is>
      </c>
      <c r="B48" s="1" t="n">
        <v>44546</v>
      </c>
      <c r="C48" s="1" t="n">
        <v>46200</v>
      </c>
      <c r="D48" t="inlineStr">
        <is>
          <t>STOCKHOLMS LÄN</t>
        </is>
      </c>
      <c r="E48" t="inlineStr">
        <is>
          <t>UPPLANDS-BRO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7860-2024</t>
        </is>
      </c>
      <c r="B49" s="1" t="n">
        <v>45348</v>
      </c>
      <c r="C49" s="1" t="n">
        <v>46200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46200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64110-2023</t>
        </is>
      </c>
      <c r="B51" s="1" t="n">
        <v>45279</v>
      </c>
      <c r="C51" s="1" t="n">
        <v>46200</v>
      </c>
      <c r="D51" t="inlineStr">
        <is>
          <t>STOCKHOLMS LÄN</t>
        </is>
      </c>
      <c r="E51" t="inlineStr">
        <is>
          <t>UPPLANDS-BRO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23098-2024</t>
        </is>
      </c>
      <c r="B52" s="1" t="n">
        <v>45450</v>
      </c>
      <c r="C52" s="1" t="n">
        <v>46200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59848-2022</t>
        </is>
      </c>
      <c r="B53" s="1" t="n">
        <v>44901</v>
      </c>
      <c r="C53" s="1" t="n">
        <v>46200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7275-2022</t>
        </is>
      </c>
      <c r="B54" s="1" t="n">
        <v>44606</v>
      </c>
      <c r="C54" s="1" t="n">
        <v>46200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</v>
      </c>
      <c r="C55" s="1" t="n">
        <v>46200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46200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46200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46200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7112-2025</t>
        </is>
      </c>
      <c r="B59" s="1" t="n">
        <v>45701</v>
      </c>
      <c r="C59" s="1" t="n">
        <v>46200</v>
      </c>
      <c r="D59" t="inlineStr">
        <is>
          <t>STOCKHOLMS LÄN</t>
        </is>
      </c>
      <c r="E59" t="inlineStr">
        <is>
          <t>UPPLANDS-BRO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46200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46200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23615-2025</t>
        </is>
      </c>
      <c r="B62" s="1" t="n">
        <v>45792</v>
      </c>
      <c r="C62" s="1" t="n">
        <v>46200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23627-2025</t>
        </is>
      </c>
      <c r="B63" s="1" t="n">
        <v>45792</v>
      </c>
      <c r="C63" s="1" t="n">
        <v>46200</v>
      </c>
      <c r="D63" t="inlineStr">
        <is>
          <t>STOCKHOLMS LÄN</t>
        </is>
      </c>
      <c r="E63" t="inlineStr">
        <is>
          <t>UPPLANDS-BRO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2046-2026</t>
        </is>
      </c>
      <c r="B64" s="1" t="n">
        <v>46031</v>
      </c>
      <c r="C64" s="1" t="n">
        <v>46200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3754-2026</t>
        </is>
      </c>
      <c r="B65" s="1" t="n">
        <v>46043</v>
      </c>
      <c r="C65" s="1" t="n">
        <v>46200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9655-2026</t>
        </is>
      </c>
      <c r="B66" s="1" t="n">
        <v>46070</v>
      </c>
      <c r="C66" s="1" t="n">
        <v>46200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18778-2026</t>
        </is>
      </c>
      <c r="B67" s="1" t="n">
        <v>46128</v>
      </c>
      <c r="C67" s="1" t="n">
        <v>46200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18813-2026</t>
        </is>
      </c>
      <c r="B68" s="1" t="n">
        <v>46128</v>
      </c>
      <c r="C68" s="1" t="n">
        <v>46200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18818-2026</t>
        </is>
      </c>
      <c r="B69" s="1" t="n">
        <v>46128</v>
      </c>
      <c r="C69" s="1" t="n">
        <v>46200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18787-2026</t>
        </is>
      </c>
      <c r="B70" s="1" t="n">
        <v>46128</v>
      </c>
      <c r="C70" s="1" t="n">
        <v>46200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24579-2026</t>
        </is>
      </c>
      <c r="B71" s="1" t="n">
        <v>46170</v>
      </c>
      <c r="C71" s="1" t="n">
        <v>46200</v>
      </c>
      <c r="D71" t="inlineStr">
        <is>
          <t>STOCKHOLMS LÄN</t>
        </is>
      </c>
      <c r="E71" t="inlineStr">
        <is>
          <t>UPPLANDS-BRO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3596-2026</t>
        </is>
      </c>
      <c r="B72" s="1" t="n">
        <v>46042</v>
      </c>
      <c r="C72" s="1" t="n">
        <v>46200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58598-2025</t>
        </is>
      </c>
      <c r="B73" s="1" t="n">
        <v>45986</v>
      </c>
      <c r="C73" s="1" t="n">
        <v>46200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26196-2026</t>
        </is>
      </c>
      <c r="B74" s="1" t="n">
        <v>46182</v>
      </c>
      <c r="C74" s="1" t="n">
        <v>46200</v>
      </c>
      <c r="D74" t="inlineStr">
        <is>
          <t>STOCKHOLMS LÄN</t>
        </is>
      </c>
      <c r="E74" t="inlineStr">
        <is>
          <t>UPPLANDS-BRO</t>
        </is>
      </c>
      <c r="G74" t="n">
        <v>53.1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26629-2026</t>
        </is>
      </c>
      <c r="B75" s="1" t="n">
        <v>46184</v>
      </c>
      <c r="C75" s="1" t="n">
        <v>46200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26625-2026</t>
        </is>
      </c>
      <c r="B76" s="1" t="n">
        <v>46184</v>
      </c>
      <c r="C76" s="1" t="n">
        <v>46200</v>
      </c>
      <c r="D76" t="inlineStr">
        <is>
          <t>STOCKHOLMS LÄN</t>
        </is>
      </c>
      <c r="E76" t="inlineStr">
        <is>
          <t>UPPLANDS-BRO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26633-2026</t>
        </is>
      </c>
      <c r="B77" s="1" t="n">
        <v>46184</v>
      </c>
      <c r="C77" s="1" t="n">
        <v>46200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21206-2026</t>
        </is>
      </c>
      <c r="B78" s="1" t="n">
        <v>46146</v>
      </c>
      <c r="C78" s="1" t="n">
        <v>46200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21208-2026</t>
        </is>
      </c>
      <c r="B79" s="1" t="n">
        <v>46146</v>
      </c>
      <c r="C79" s="1" t="n">
        <v>46200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28735-2026</t>
        </is>
      </c>
      <c r="B80" s="1" t="n">
        <v>46198</v>
      </c>
      <c r="C80" s="1" t="n">
        <v>46200</v>
      </c>
      <c r="D80" t="inlineStr">
        <is>
          <t>STOCKHOLMS LÄN</t>
        </is>
      </c>
      <c r="E80" t="inlineStr">
        <is>
          <t>UPPLANDS-BRO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28797-2026</t>
        </is>
      </c>
      <c r="B81" s="1" t="n">
        <v>46198</v>
      </c>
      <c r="C81" s="1" t="n">
        <v>46200</v>
      </c>
      <c r="D81" t="inlineStr">
        <is>
          <t>STOCKHOLMS LÄN</t>
        </is>
      </c>
      <c r="E81" t="inlineStr">
        <is>
          <t>UPPLANDS-BRO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28740-2026</t>
        </is>
      </c>
      <c r="B82" s="1" t="n">
        <v>46198</v>
      </c>
      <c r="C82" s="1" t="n">
        <v>46200</v>
      </c>
      <c r="D82" t="inlineStr">
        <is>
          <t>STOCKHOLMS LÄN</t>
        </is>
      </c>
      <c r="E82" t="inlineStr">
        <is>
          <t>UPPLANDS-BRO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2026-06-27T00:52:43Z</dcterms:created>
  <dcterms:modified xmlns:dcterms="http://purl.org/dc/terms/" xmlns:xsi="http://www.w3.org/2001/XMLSchema-instance" xsi:type="dcterms:W3CDTF">2026-06-27T00:52:43Z</dcterms:modified>
</cp:coreProperties>
</file>