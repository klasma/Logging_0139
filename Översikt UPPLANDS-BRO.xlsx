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46318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46318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10909-2025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45722</v>
      </c>
      <c r="E5" s="1" t="n">
        <v>46318</v>
      </c>
      <c r="F5" t="inlineStr">
        <is>
          <t>STOCKHOLMS LÄN</t>
        </is>
      </c>
      <c r="G5" t="inlineStr">
        <is>
          <t>UPPLANDS-BRO</t>
        </is>
      </c>
      <c r="H5" t="inlineStr">
        <is>
          <t>Allmännings- och besparingsskogar</t>
        </is>
      </c>
      <c r="I5" t="n">
        <v>11.2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Arommusseron
Fläcknycklar</t>
        </is>
      </c>
      <c r="W5">
        <f>HYPERLINK("https://klasma.github.io/Logging_0139/artfynd/A 10909-2025 artfynd.xlsx", "A 10909-2025")</f>
        <v/>
      </c>
      <c r="X5">
        <f>HYPERLINK("https://klasma.github.io/Logging_0139/kartor/A 10909-2025 karta.png", "A 10909-2025")</f>
        <v/>
      </c>
      <c r="Y5">
        <f>HYPERLINK("https://klasma.github.io/Logging_0139/kartor_geotiff/A 10909-2025 georefererad karta.tif", "A 10909-2025")</f>
        <v/>
      </c>
      <c r="AA5">
        <f>HYPERLINK("https://klasma.github.io/Logging_0139/klagomål/A 10909-2025 FSC-klagomål.docx", "A 10909-2025")</f>
        <v/>
      </c>
      <c r="AB5">
        <f>HYPERLINK("https://klasma.github.io/Logging_0139/klagomålsmail/A 10909-2025 FSC-klagomål mail.docx", "A 10909-2025")</f>
        <v/>
      </c>
      <c r="AC5">
        <f>HYPERLINK("https://klasma.github.io/Logging_0139/tillsyn/A 10909-2025 tillsynsbegäran.docx", "A 10909-2025")</f>
        <v/>
      </c>
      <c r="AD5">
        <f>HYPERLINK("https://klasma.github.io/Logging_0139/tillsynsmail/A 10909-2025 tillsynsbegäran mail.docx", "A 10909-2025")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46318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46318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46318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46318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46318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46318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46318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45279</v>
      </c>
      <c r="E15" s="1" t="n">
        <v>46318</v>
      </c>
      <c r="F15" t="inlineStr">
        <is>
          <t>STOCKHOLMS LÄN</t>
        </is>
      </c>
      <c r="G15" t="inlineStr">
        <is>
          <t>UPPLANDS-BRO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Skogsalmsdvärgmal</t>
        </is>
      </c>
      <c r="W15">
        <f>HYPERLINK("https://klasma.github.io/Logging_0139/artfynd/A 64098-2023 artfynd.xlsx", "A 64098-2023")</f>
        <v/>
      </c>
      <c r="X15">
        <f>HYPERLINK("https://klasma.github.io/Logging_0139/kartor/A 64098-2023 karta.png", "A 64098-2023")</f>
        <v/>
      </c>
      <c r="Y15">
        <f>HYPERLINK("https://klasma.github.io/Logging_0139/kartor_geotiff/A 64098-2023 georefererad karta.tif", "A 64098-2023")</f>
        <v/>
      </c>
      <c r="AA15">
        <f>HYPERLINK("https://klasma.github.io/Logging_0139/klagomål/A 64098-2023 FSC-klagomål.docx", "A 64098-2023")</f>
        <v/>
      </c>
      <c r="AB15">
        <f>HYPERLINK("https://klasma.github.io/Logging_0139/klagomålsmail/A 64098-2023 FSC-klagomål mail.docx", "A 64098-2023")</f>
        <v/>
      </c>
      <c r="AC15">
        <f>HYPERLINK("https://klasma.github.io/Logging_0139/tillsyn/A 64098-2023 tillsynsbegäran.docx", "A 64098-2023")</f>
        <v/>
      </c>
      <c r="AD15">
        <f>HYPERLINK("https://klasma.github.io/Logging_0139/tillsynsmail/A 64098-2023 tillsynsbegäran mail.docx", "A 64098-2023")</f>
        <v/>
      </c>
    </row>
    <row r="16" ht="15" customHeight="1">
      <c r="A16" t="inlineStr">
        <is>
          <t>A 26196-2026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46182</v>
      </c>
      <c r="E16" s="1" t="n">
        <v>46318</v>
      </c>
      <c r="F16" t="inlineStr">
        <is>
          <t>STOCKHOLMS LÄN</t>
        </is>
      </c>
      <c r="G16" t="inlineStr">
        <is>
          <t>UPPLANDS-BRO</t>
        </is>
      </c>
      <c r="I16" t="n">
        <v>53.1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Liljekonvalj</t>
        </is>
      </c>
      <c r="W16">
        <f>HYPERLINK("https://klasma.github.io/Logging_0139/artfynd/A 26196-2026 artfynd.xlsx", "A 26196-2026")</f>
        <v/>
      </c>
      <c r="X16">
        <f>HYPERLINK("https://klasma.github.io/Logging_0139/kartor/A 26196-2026 karta.png", "A 26196-2026")</f>
        <v/>
      </c>
      <c r="Y16">
        <f>HYPERLINK("https://klasma.github.io/Logging_0139/kartor_geotiff/A 26196-2026 georefererad karta.tif", "A 26196-2026")</f>
        <v/>
      </c>
      <c r="AA16">
        <f>HYPERLINK("https://klasma.github.io/Logging_0139/klagomål/A 26196-2026 FSC-klagomål.docx", "A 26196-2026")</f>
        <v/>
      </c>
      <c r="AB16">
        <f>HYPERLINK("https://klasma.github.io/Logging_0139/klagomålsmail/A 26196-2026 FSC-klagomål mail.docx", "A 26196-2026")</f>
        <v/>
      </c>
      <c r="AC16">
        <f>HYPERLINK("https://klasma.github.io/Logging_0139/tillsyn/A 26196-2026 tillsynsbegäran.docx", "A 26196-2026")</f>
        <v/>
      </c>
      <c r="AD16">
        <f>HYPERLINK("https://klasma.github.io/Logging_0139/tillsynsmail/A 26196-2026 tillsynsbegäran mail.docx", "A 26196-2026")</f>
        <v/>
      </c>
    </row>
    <row r="17" ht="15" customHeight="1">
      <c r="A17" t="inlineStr">
        <is>
          <t>A 2062-2025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46318</v>
      </c>
      <c r="F17" t="inlineStr">
        <is>
          <t>STOCKHOLMS LÄN</t>
        </is>
      </c>
      <c r="G17" t="inlineStr">
        <is>
          <t>UPPLANDS-BRO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Mindre hackspett</t>
        </is>
      </c>
      <c r="W17">
        <f>HYPERLINK("https://klasma.github.io/Logging_0139/artfynd/A 2062-2025 artfynd.xlsx", "A 2062-2025")</f>
        <v/>
      </c>
      <c r="X17">
        <f>HYPERLINK("https://klasma.github.io/Logging_0139/kartor/A 2062-2025 karta.png", "A 2062-2025")</f>
        <v/>
      </c>
      <c r="Y17">
        <f>HYPERLINK("https://klasma.github.io/Logging_0139/kartor_geotiff/A 2062-2025 georefererad karta.tif", "A 2062-2025")</f>
        <v/>
      </c>
      <c r="AA17">
        <f>HYPERLINK("https://klasma.github.io/Logging_0139/klagomål/A 2062-2025 FSC-klagomål.docx", "A 2062-2025")</f>
        <v/>
      </c>
      <c r="AB17">
        <f>HYPERLINK("https://klasma.github.io/Logging_0139/klagomålsmail/A 2062-2025 FSC-klagomål mail.docx", "A 2062-2025")</f>
        <v/>
      </c>
      <c r="AC17">
        <f>HYPERLINK("https://klasma.github.io/Logging_0139/tillsyn/A 2062-2025 tillsynsbegäran.docx", "A 2062-2025")</f>
        <v/>
      </c>
      <c r="AD17">
        <f>HYPERLINK("https://klasma.github.io/Logging_0139/tillsynsmail/A 2062-2025 tillsynsbegäran mail.docx", "A 2062-2025")</f>
        <v/>
      </c>
      <c r="AE17">
        <f>HYPERLINK("https://klasma.github.io/Logging_0139/fåglar/A 2062-2025 prioriterade fågelarter.docx", "A 2062-2025")</f>
        <v/>
      </c>
    </row>
    <row r="18" ht="15" customHeight="1">
      <c r="A18" t="inlineStr">
        <is>
          <t>A 26637-2026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46318</v>
      </c>
      <c r="F18" t="inlineStr">
        <is>
          <t>STOCKHOLMS LÄN</t>
        </is>
      </c>
      <c r="G18" t="inlineStr">
        <is>
          <t>UPPLANDS-BRO</t>
        </is>
      </c>
      <c r="I18" t="n">
        <v>5.4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HYPERLINK("https://klasma.github.io/Logging_0139/artfynd/A 26637-2026 artfynd.xlsx", "A 26637-2026")</f>
        <v/>
      </c>
      <c r="X18">
        <f>HYPERLINK("https://klasma.github.io/Logging_0139/kartor/A 26637-2026 karta.png", "A 26637-2026")</f>
        <v/>
      </c>
      <c r="Y18">
        <f>HYPERLINK("https://klasma.github.io/Logging_0139/kartor_geotiff/A 26637-2026 georefererad karta.tif", "A 26637-2026")</f>
        <v/>
      </c>
      <c r="AA18">
        <f>HYPERLINK("https://klasma.github.io/Logging_0139/klagomål/A 26637-2026 FSC-klagomål.docx", "A 26637-2026")</f>
        <v/>
      </c>
      <c r="AB18">
        <f>HYPERLINK("https://klasma.github.io/Logging_0139/klagomålsmail/A 26637-2026 FSC-klagomål mail.docx", "A 26637-2026")</f>
        <v/>
      </c>
      <c r="AC18">
        <f>HYPERLINK("https://klasma.github.io/Logging_0139/tillsyn/A 26637-2026 tillsynsbegäran.docx", "A 26637-2026")</f>
        <v/>
      </c>
      <c r="AD18">
        <f>HYPERLINK("https://klasma.github.io/Logging_0139/tillsynsmail/A 26637-2026 tillsynsbegäran mail.docx", "A 26637-2026")</f>
        <v/>
      </c>
    </row>
    <row r="19" ht="15" customHeight="1">
      <c r="A19" t="inlineStr">
        <is>
          <t>A 23099-2024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46318</v>
      </c>
      <c r="F19" t="inlineStr">
        <is>
          <t>STOCKHOLMS LÄN</t>
        </is>
      </c>
      <c r="G19" t="inlineStr">
        <is>
          <t>UPPLANDS-BRO</t>
        </is>
      </c>
      <c r="H19" t="inlineStr">
        <is>
          <t>Övriga statliga verk och myndigheter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Bredbrämad bastardsvärmare</t>
        </is>
      </c>
      <c r="W19">
        <f>HYPERLINK("https://klasma.github.io/Logging_0139/artfynd/A 23099-2024 artfynd.xlsx", "A 23099-2024")</f>
        <v/>
      </c>
      <c r="X19">
        <f>HYPERLINK("https://klasma.github.io/Logging_0139/kartor/A 23099-2024 karta.png", "A 23099-2024")</f>
        <v/>
      </c>
      <c r="Y19">
        <f>HYPERLINK("https://klasma.github.io/Logging_0139/kartor_geotiff/A 23099-2024 georefererad karta.tif", "A 23099-2024")</f>
        <v/>
      </c>
      <c r="AA19">
        <f>HYPERLINK("https://klasma.github.io/Logging_0139/klagomål/A 23099-2024 FSC-klagomål.docx", "A 23099-2024")</f>
        <v/>
      </c>
      <c r="AB19">
        <f>HYPERLINK("https://klasma.github.io/Logging_0139/klagomålsmail/A 23099-2024 FSC-klagomål mail.docx", "A 23099-2024")</f>
        <v/>
      </c>
      <c r="AC19">
        <f>HYPERLINK("https://klasma.github.io/Logging_0139/tillsyn/A 23099-2024 tillsynsbegäran.docx", "A 23099-2024")</f>
        <v/>
      </c>
      <c r="AD19">
        <f>HYPERLINK("https://klasma.github.io/Logging_0139/tillsynsmail/A 23099-2024 tillsynsbegäran mail.docx", "A 23099-2024")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46318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46438-2023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46318</v>
      </c>
      <c r="F21" t="inlineStr">
        <is>
          <t>STOCKHOLMS LÄN</t>
        </is>
      </c>
      <c r="G21" t="inlineStr">
        <is>
          <t>UPPLANDS-BRO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HYPERLINK("https://klasma.github.io/Logging_0139/artfynd/A 46438-2023 artfynd.xlsx", "A 46438-2023")</f>
        <v/>
      </c>
      <c r="X21">
        <f>HYPERLINK("https://klasma.github.io/Logging_0139/kartor/A 46438-2023 karta.png", "A 46438-2023")</f>
        <v/>
      </c>
      <c r="Y21">
        <f>HYPERLINK("https://klasma.github.io/Logging_0139/kartor_geotiff/A 46438-2023 georefererad karta.tif", "A 46438-2023")</f>
        <v/>
      </c>
      <c r="AA21">
        <f>HYPERLINK("https://klasma.github.io/Logging_0139/klagomål/A 46438-2023 FSC-klagomål.docx", "A 46438-2023")</f>
        <v/>
      </c>
      <c r="AB21">
        <f>HYPERLINK("https://klasma.github.io/Logging_0139/klagomålsmail/A 46438-2023 FSC-klagomål mail.docx", "A 46438-2023")</f>
        <v/>
      </c>
      <c r="AC21">
        <f>HYPERLINK("https://klasma.github.io/Logging_0139/tillsyn/A 46438-2023 tillsynsbegäran.docx", "A 46438-2023")</f>
        <v/>
      </c>
      <c r="AD21">
        <f>HYPERLINK("https://klasma.github.io/Logging_0139/tillsynsmail/A 46438-2023 tillsynsbegäran mail.docx", "A 46438-2023")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46318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46318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46318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46318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46318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46318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45313</v>
      </c>
      <c r="E28" s="1" t="n">
        <v>46318</v>
      </c>
      <c r="F28" t="inlineStr">
        <is>
          <t>STOCKHOLMS LÄN</t>
        </is>
      </c>
      <c r="G28" t="inlineStr">
        <is>
          <t>UPPLANDS-BRO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46318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46318</v>
      </c>
      <c r="F30" t="inlineStr">
        <is>
          <t>STOCKHOLMS LÄN</t>
        </is>
      </c>
      <c r="G30" t="inlineStr">
        <is>
          <t>UPPLANDS-BRO</t>
        </is>
      </c>
      <c r="H30" t="inlineStr">
        <is>
          <t>Övriga statliga verk och myndigheter</t>
        </is>
      </c>
      <c r="I30" t="n">
        <v>11.9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51587-2023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45215</v>
      </c>
      <c r="E31" s="1" t="n">
        <v>46318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46318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72524-2021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44546</v>
      </c>
      <c r="E33" s="1" t="n">
        <v>46318</v>
      </c>
      <c r="F33" t="inlineStr">
        <is>
          <t>STOCKHOLMS LÄN</t>
        </is>
      </c>
      <c r="G33" t="inlineStr">
        <is>
          <t>UPPLANDS-BRO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4338-2023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44953</v>
      </c>
      <c r="E34" s="1" t="n">
        <v>46318</v>
      </c>
      <c r="F34" t="inlineStr">
        <is>
          <t>STOCKHOLMS LÄN</t>
        </is>
      </c>
      <c r="G34" t="inlineStr">
        <is>
          <t>UPPLANDS-BRO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44901</v>
      </c>
      <c r="E35" s="1" t="n">
        <v>46318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46318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44950</v>
      </c>
      <c r="E37" s="1" t="n">
        <v>46318</v>
      </c>
      <c r="F37" t="inlineStr">
        <is>
          <t>STOCKHOLMS LÄN</t>
        </is>
      </c>
      <c r="G37" t="inlineStr">
        <is>
          <t>UPPLANDS-BRO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46318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46318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44606</v>
      </c>
      <c r="E40" s="1" t="n">
        <v>46318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9.6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46318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46318</v>
      </c>
      <c r="F42" t="inlineStr">
        <is>
          <t>STOCKHOLMS LÄN</t>
        </is>
      </c>
      <c r="G42" t="inlineStr">
        <is>
          <t>UPPLANDS-BRO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46318</v>
      </c>
      <c r="F43" t="inlineStr">
        <is>
          <t>STOCKHOLMS LÄN</t>
        </is>
      </c>
      <c r="G43" t="inlineStr">
        <is>
          <t>UPPLANDS-BRO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31160-2022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44770</v>
      </c>
      <c r="E44" s="1" t="n">
        <v>46318</v>
      </c>
      <c r="F44" t="inlineStr">
        <is>
          <t>STOCKHOLMS LÄN</t>
        </is>
      </c>
      <c r="G44" t="inlineStr">
        <is>
          <t>UPPLANDS-BRO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46318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45701</v>
      </c>
      <c r="E46" s="1" t="n">
        <v>46318</v>
      </c>
      <c r="F46" t="inlineStr">
        <is>
          <t>STOCKHOLMS LÄN</t>
        </is>
      </c>
      <c r="G46" t="inlineStr">
        <is>
          <t>UPPLANDS-BRO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46318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46318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26633-2026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46318</v>
      </c>
      <c r="F49" t="inlineStr">
        <is>
          <t>STOCKHOLMS LÄN</t>
        </is>
      </c>
      <c r="G49" t="inlineStr">
        <is>
          <t>UPPLANDS-BRO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46318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46318</v>
      </c>
      <c r="F51" t="inlineStr">
        <is>
          <t>STOCKHOLMS LÄN</t>
        </is>
      </c>
      <c r="G51" t="inlineStr">
        <is>
          <t>UPPLANDS-BRO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46318</v>
      </c>
      <c r="F52" t="inlineStr">
        <is>
          <t>STOCKHOLMS LÄN</t>
        </is>
      </c>
      <c r="G52" t="inlineStr">
        <is>
          <t>UPPLANDS-BRO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46043</v>
      </c>
      <c r="E53" s="1" t="n">
        <v>46318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46318</v>
      </c>
      <c r="F54" t="inlineStr">
        <is>
          <t>STOCKHOLMS LÄN</t>
        </is>
      </c>
      <c r="G54" t="inlineStr">
        <is>
          <t>UPPLANDS-BRO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28740-2026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46318</v>
      </c>
      <c r="F55" t="inlineStr">
        <is>
          <t>STOCKHOLMS LÄN</t>
        </is>
      </c>
      <c r="G55" t="inlineStr">
        <is>
          <t>UPPLANDS-BRO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46318</v>
      </c>
      <c r="F56" t="inlineStr">
        <is>
          <t>STOCKHOLMS LÄN</t>
        </is>
      </c>
      <c r="G56" t="inlineStr">
        <is>
          <t>UPPLANDS-BRO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46318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18813-2026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46318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46318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46318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46226</v>
      </c>
      <c r="E61" s="1" t="n">
        <v>46318</v>
      </c>
      <c r="F61" t="inlineStr">
        <is>
          <t>STOCKHOLMS LÄN</t>
        </is>
      </c>
      <c r="G61" t="inlineStr">
        <is>
          <t>UPPLANDS-BRO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27313-2023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45096</v>
      </c>
      <c r="E62" s="1" t="n">
        <v>46318</v>
      </c>
      <c r="F62" t="inlineStr">
        <is>
          <t>STOCKHOLMS LÄN</t>
        </is>
      </c>
      <c r="G62" t="inlineStr">
        <is>
          <t>UPPLANDS-BRO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45279</v>
      </c>
      <c r="E63" s="1" t="n">
        <v>46318</v>
      </c>
      <c r="F63" t="inlineStr">
        <is>
          <t>STOCKHOLMS LÄN</t>
        </is>
      </c>
      <c r="G63" t="inlineStr">
        <is>
          <t>UPPLANDS-BRO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50294-2023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46318</v>
      </c>
      <c r="F64" t="inlineStr">
        <is>
          <t>STOCKHOLMS LÄN</t>
        </is>
      </c>
      <c r="G64" t="inlineStr">
        <is>
          <t>UPPLANDS-BRO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33058-2026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46245</v>
      </c>
      <c r="E65" s="1" t="n">
        <v>46318</v>
      </c>
      <c r="F65" t="inlineStr">
        <is>
          <t>STOCKHOLMS LÄN</t>
        </is>
      </c>
      <c r="G65" t="inlineStr">
        <is>
          <t>UPPLANDS-BRO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46318</v>
      </c>
      <c r="F66" t="inlineStr">
        <is>
          <t>STOCKHOLMS LÄN</t>
        </is>
      </c>
      <c r="G66" t="inlineStr">
        <is>
          <t>UPPLANDS-BRO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45450</v>
      </c>
      <c r="E67" s="1" t="n">
        <v>46318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26625-2026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46318</v>
      </c>
      <c r="F68" t="inlineStr">
        <is>
          <t>STOCKHOLMS LÄN</t>
        </is>
      </c>
      <c r="G68" t="inlineStr">
        <is>
          <t>UPPLANDS-BRO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46318</v>
      </c>
      <c r="F69" t="inlineStr">
        <is>
          <t>STOCKHOLMS LÄN</t>
        </is>
      </c>
      <c r="G69" t="inlineStr">
        <is>
          <t>UPPLANDS-BRO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44906</v>
      </c>
      <c r="E70" s="1" t="n">
        <v>46318</v>
      </c>
      <c r="F70" t="inlineStr">
        <is>
          <t>STOCKHOLMS LÄN</t>
        </is>
      </c>
      <c r="G70" t="inlineStr">
        <is>
          <t>UPPLANDS-BRO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44959</v>
      </c>
      <c r="E71" s="1" t="n">
        <v>46318</v>
      </c>
      <c r="F71" t="inlineStr">
        <is>
          <t>STOCKHOLMS LÄN</t>
        </is>
      </c>
      <c r="G71" t="inlineStr">
        <is>
          <t>UPPLANDS-BRO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10447-2021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44558</v>
      </c>
      <c r="E72" s="1" t="n">
        <v>46318</v>
      </c>
      <c r="F72" t="inlineStr">
        <is>
          <t>STOCKHOLMS LÄN</t>
        </is>
      </c>
      <c r="G72" t="inlineStr">
        <is>
          <t>UPPLANDS-BRO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2026-10-23T02:04:14Z</dcterms:created>
  <dcterms:modified xmlns:dcterms="http://purl.org/dc/terms/" xmlns:xsi="http://www.w3.org/2001/XMLSchema-instance" xsi:type="dcterms:W3CDTF">2026-10-23T02:04:14Z</dcterms:modified>
</cp:coreProperties>
</file>