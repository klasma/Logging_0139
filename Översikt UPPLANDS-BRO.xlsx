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4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Klotsporig murkla
Motaggsvamp
Talltita
Älg
Blåmossa
Bronshjon
Rödbrun jordstjärna
Stubbspretmossa
Svavelriska
Thomsons trägnagare
Vitvaxing agg.
Vågbandad barkbock
Blåsippa
Spillkråka
Kungsfågel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56756-2021</t>
        </is>
      </c>
      <c r="B3" s="1" t="n">
        <v>44481</v>
      </c>
      <c r="C3" s="1" t="n">
        <v>46194</v>
      </c>
      <c r="D3" t="inlineStr">
        <is>
          <t>STOCKHOLMS LÄN</t>
        </is>
      </c>
      <c r="E3" t="inlineStr">
        <is>
          <t>UPPLANDS-BRO</t>
        </is>
      </c>
      <c r="G3" t="n">
        <v>1.1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Entita
Spillkråka
Tallbit
Grönsiska
Kungsfågel</t>
        </is>
      </c>
      <c r="S3">
        <f>HYPERLINK("https://klasma.github.io/Logging_0139/artfynd/A 56756-2021 artfynd.xlsx", "A 56756-2021")</f>
        <v/>
      </c>
      <c r="T3">
        <f>HYPERLINK("https://klasma.github.io/Logging_0139/kartor/A 56756-2021 karta.png", "A 56756-2021")</f>
        <v/>
      </c>
      <c r="V3">
        <f>HYPERLINK("https://klasma.github.io/Logging_0139/klagomål/A 56756-2021 FSC-klagomål.docx", "A 56756-2021")</f>
        <v/>
      </c>
      <c r="W3">
        <f>HYPERLINK("https://klasma.github.io/Logging_0139/klagomålsmail/A 56756-2021 FSC-klagomål mail.docx", "A 56756-2021")</f>
        <v/>
      </c>
      <c r="X3">
        <f>HYPERLINK("https://klasma.github.io/Logging_0139/tillsyn/A 56756-2021 tillsynsbegäran.docx", "A 56756-2021")</f>
        <v/>
      </c>
      <c r="Y3">
        <f>HYPERLINK("https://klasma.github.io/Logging_0139/tillsynsmail/A 56756-2021 tillsynsbegäran mail.docx", "A 56756-2021")</f>
        <v/>
      </c>
      <c r="Z3">
        <f>HYPERLINK("https://klasma.github.io/Logging_0139/fåglar/A 56756-2021 prioriterade fågelarter.docx", "A 56756-2021")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Skarp dropptaggsvamp
Blomkålssvamp
Grovticka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46194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Blek fingersvamp
Dofttaggsvamp
Skarp dropptaggsvamp
Svartvit 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55586-2023</t>
        </is>
      </c>
      <c r="B7" s="1" t="n">
        <v>45232</v>
      </c>
      <c r="C7" s="1" t="n">
        <v>46194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38.9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Fyrflikig jordstjärna
Nästrot
Blåsippa</t>
        </is>
      </c>
      <c r="S7">
        <f>HYPERLINK("https://klasma.github.io/Logging_0139/artfynd/A 55586-2023 artfynd.xlsx", "A 55586-2023")</f>
        <v/>
      </c>
      <c r="T7">
        <f>HYPERLINK("https://klasma.github.io/Logging_0139/kartor/A 55586-2023 karta.png", "A 55586-2023")</f>
        <v/>
      </c>
      <c r="V7">
        <f>HYPERLINK("https://klasma.github.io/Logging_0139/klagomål/A 55586-2023 FSC-klagomål.docx", "A 55586-2023")</f>
        <v/>
      </c>
      <c r="W7">
        <f>HYPERLINK("https://klasma.github.io/Logging_0139/klagomålsmail/A 55586-2023 FSC-klagomål mail.docx", "A 55586-2023")</f>
        <v/>
      </c>
      <c r="X7">
        <f>HYPERLINK("https://klasma.github.io/Logging_0139/tillsyn/A 55586-2023 tillsynsbegäran.docx", "A 55586-2023")</f>
        <v/>
      </c>
      <c r="Y7">
        <f>HYPERLINK("https://klasma.github.io/Logging_0139/tillsynsmail/A 55586-2023 tillsynsbegäran mail.docx", "A 55586-2023")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46194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46194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46194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46194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46438-2023</t>
        </is>
      </c>
      <c r="B12" s="1" t="n">
        <v>45197</v>
      </c>
      <c r="C12" s="1" t="n">
        <v>46194</v>
      </c>
      <c r="D12" t="inlineStr">
        <is>
          <t>STOCKHOLMS LÄN</t>
        </is>
      </c>
      <c r="E12" t="inlineStr">
        <is>
          <t>UPPLANDS-BRO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46438-2023 artfynd.xlsx", "A 46438-2023")</f>
        <v/>
      </c>
      <c r="T12">
        <f>HYPERLINK("https://klasma.github.io/Logging_0139/kartor/A 46438-2023 karta.png", "A 46438-2023")</f>
        <v/>
      </c>
      <c r="V12">
        <f>HYPERLINK("https://klasma.github.io/Logging_0139/klagomål/A 46438-2023 FSC-klagomål.docx", "A 46438-2023")</f>
        <v/>
      </c>
      <c r="W12">
        <f>HYPERLINK("https://klasma.github.io/Logging_0139/klagomålsmail/A 46438-2023 FSC-klagomål mail.docx", "A 46438-2023")</f>
        <v/>
      </c>
      <c r="X12">
        <f>HYPERLINK("https://klasma.github.io/Logging_0139/tillsyn/A 46438-2023 tillsynsbegäran.docx", "A 46438-2023")</f>
        <v/>
      </c>
      <c r="Y12">
        <f>HYPERLINK("https://klasma.github.io/Logging_0139/tillsynsmail/A 46438-2023 tillsynsbegäran mail.docx", "A 46438-2023")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46194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s="1" t="n">
        <v>45730</v>
      </c>
      <c r="C14" s="1" t="n">
        <v>46194</v>
      </c>
      <c r="D14" t="inlineStr">
        <is>
          <t>STOCKHOLMS LÄN</t>
        </is>
      </c>
      <c r="E14" t="inlineStr">
        <is>
          <t>UPPLANDS-BRO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HYPERLINK("https://klasma.github.io/Logging_0139/artfynd/A 12363-2025 artfynd.xlsx", "A 12363-2025")</f>
        <v/>
      </c>
      <c r="T14">
        <f>HYPERLINK("https://klasma.github.io/Logging_0139/kartor/A 12363-2025 karta.png", "A 12363-2025")</f>
        <v/>
      </c>
      <c r="V14">
        <f>HYPERLINK("https://klasma.github.io/Logging_0139/klagomål/A 12363-2025 FSC-klagomål.docx", "A 12363-2025")</f>
        <v/>
      </c>
      <c r="W14">
        <f>HYPERLINK("https://klasma.github.io/Logging_0139/klagomålsmail/A 12363-2025 FSC-klagomål mail.docx", "A 12363-2025")</f>
        <v/>
      </c>
      <c r="X14">
        <f>HYPERLINK("https://klasma.github.io/Logging_0139/tillsyn/A 12363-2025 tillsynsbegäran.docx", "A 12363-2025")</f>
        <v/>
      </c>
      <c r="Y14">
        <f>HYPERLINK("https://klasma.github.io/Logging_0139/tillsynsmail/A 12363-2025 tillsynsbegäran mail.docx", "A 12363-2025")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46194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26623-2026</t>
        </is>
      </c>
      <c r="B16" s="1" t="n">
        <v>46184</v>
      </c>
      <c r="C16" s="1" t="n">
        <v>46194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Svartöra</t>
        </is>
      </c>
      <c r="S16">
        <f>HYPERLINK("https://klasma.github.io/Logging_0139/artfynd/A 26623-2026 artfynd.xlsx", "A 26623-2026")</f>
        <v/>
      </c>
      <c r="T16">
        <f>HYPERLINK("https://klasma.github.io/Logging_0139/kartor/A 26623-2026 karta.png", "A 26623-2026")</f>
        <v/>
      </c>
      <c r="V16">
        <f>HYPERLINK("https://klasma.github.io/Logging_0139/klagomål/A 26623-2026 FSC-klagomål.docx", "A 26623-2026")</f>
        <v/>
      </c>
      <c r="W16">
        <f>HYPERLINK("https://klasma.github.io/Logging_0139/klagomålsmail/A 26623-2026 FSC-klagomål mail.docx", "A 26623-2026")</f>
        <v/>
      </c>
      <c r="X16">
        <f>HYPERLINK("https://klasma.github.io/Logging_0139/tillsyn/A 26623-2026 tillsynsbegäran.docx", "A 26623-2026")</f>
        <v/>
      </c>
      <c r="Y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s="1" t="n">
        <v>46184</v>
      </c>
      <c r="C17" s="1" t="n">
        <v>46194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2062-2025</t>
        </is>
      </c>
      <c r="B18" s="1" t="n">
        <v>45671</v>
      </c>
      <c r="C18" s="1" t="n">
        <v>46194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HYPERLINK("https://klasma.github.io/Logging_0139/artfynd/A 2062-2025 artfynd.xlsx", "A 2062-2025")</f>
        <v/>
      </c>
      <c r="T18">
        <f>HYPERLINK("https://klasma.github.io/Logging_0139/kartor/A 2062-2025 karta.png", "A 2062-2025")</f>
        <v/>
      </c>
      <c r="V18">
        <f>HYPERLINK("https://klasma.github.io/Logging_0139/klagomål/A 2062-2025 FSC-klagomål.docx", "A 2062-2025")</f>
        <v/>
      </c>
      <c r="W18">
        <f>HYPERLINK("https://klasma.github.io/Logging_0139/klagomålsmail/A 2062-2025 FSC-klagomål mail.docx", "A 2062-2025")</f>
        <v/>
      </c>
      <c r="X18">
        <f>HYPERLINK("https://klasma.github.io/Logging_0139/tillsyn/A 2062-2025 tillsynsbegäran.docx", "A 2062-2025")</f>
        <v/>
      </c>
      <c r="Y18">
        <f>HYPERLINK("https://klasma.github.io/Logging_0139/tillsynsmail/A 2062-2025 tillsynsbegäran mail.docx", "A 2062-2025")</f>
        <v/>
      </c>
      <c r="Z18">
        <f>HYPERLINK("https://klasma.github.io/Logging_0139/fåglar/A 2062-2025 prioriterade fågelarter.docx", "A 2062-2025")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46194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53357-2025</t>
        </is>
      </c>
      <c r="B20" s="1" t="n">
        <v>45959</v>
      </c>
      <c r="C20" s="1" t="n">
        <v>46194</v>
      </c>
      <c r="D20" t="inlineStr">
        <is>
          <t>STOCKHOLMS LÄN</t>
        </is>
      </c>
      <c r="E20" t="inlineStr">
        <is>
          <t>UPPLANDS-BRO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HYPERLINK("https://klasma.github.io/Logging_0139/artfynd/A 53357-2025 artfynd.xlsx", "A 53357-2025")</f>
        <v/>
      </c>
      <c r="T20">
        <f>HYPERLINK("https://klasma.github.io/Logging_0139/kartor/A 53357-2025 karta.png", "A 53357-2025")</f>
        <v/>
      </c>
      <c r="V20">
        <f>HYPERLINK("https://klasma.github.io/Logging_0139/klagomål/A 53357-2025 FSC-klagomål.docx", "A 53357-2025")</f>
        <v/>
      </c>
      <c r="W20">
        <f>HYPERLINK("https://klasma.github.io/Logging_0139/klagomålsmail/A 53357-2025 FSC-klagomål mail.docx", "A 53357-2025")</f>
        <v/>
      </c>
      <c r="X20">
        <f>HYPERLINK("https://klasma.github.io/Logging_0139/tillsyn/A 53357-2025 tillsynsbegäran.docx", "A 53357-2025")</f>
        <v/>
      </c>
      <c r="Y20">
        <f>HYPERLINK("https://klasma.github.io/Logging_0139/tillsynsmail/A 53357-2025 tillsynsbegäran mail.docx", "A 53357-2025")</f>
        <v/>
      </c>
    </row>
    <row r="21" ht="15" customHeight="1">
      <c r="A21" t="inlineStr">
        <is>
          <t>A 64098-2023</t>
        </is>
      </c>
      <c r="B21" s="1" t="n">
        <v>45279</v>
      </c>
      <c r="C21" s="1" t="n">
        <v>46194</v>
      </c>
      <c r="D21" t="inlineStr">
        <is>
          <t>STOCKHOLMS LÄN</t>
        </is>
      </c>
      <c r="E21" t="inlineStr">
        <is>
          <t>UPPLANDS-BRO</t>
        </is>
      </c>
      <c r="G21" t="n">
        <v>0.3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Skogsalmsdvärgmal</t>
        </is>
      </c>
      <c r="S21">
        <f>HYPERLINK("https://klasma.github.io/Logging_0139/artfynd/A 64098-2023 artfynd.xlsx", "A 64098-2023")</f>
        <v/>
      </c>
      <c r="T21">
        <f>HYPERLINK("https://klasma.github.io/Logging_0139/kartor/A 64098-2023 karta.png", "A 64098-2023")</f>
        <v/>
      </c>
      <c r="V21">
        <f>HYPERLINK("https://klasma.github.io/Logging_0139/klagomål/A 64098-2023 FSC-klagomål.docx", "A 64098-2023")</f>
        <v/>
      </c>
      <c r="W21">
        <f>HYPERLINK("https://klasma.github.io/Logging_0139/klagomålsmail/A 64098-2023 FSC-klagomål mail.docx", "A 64098-2023")</f>
        <v/>
      </c>
      <c r="X21">
        <f>HYPERLINK("https://klasma.github.io/Logging_0139/tillsyn/A 64098-2023 tillsynsbegäran.docx", "A 64098-2023")</f>
        <v/>
      </c>
      <c r="Y21">
        <f>HYPERLINK("https://klasma.github.io/Logging_0139/tillsynsmail/A 64098-2023 tillsynsbegäran mail.docx", "A 64098-2023")</f>
        <v/>
      </c>
    </row>
    <row r="22" ht="15" customHeight="1">
      <c r="A22" t="inlineStr">
        <is>
          <t>A 73773-2021</t>
        </is>
      </c>
      <c r="B22" s="1" t="n">
        <v>44552</v>
      </c>
      <c r="C22" s="1" t="n">
        <v>46194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HYPERLINK("https://klasma.github.io/Logging_0139/artfynd/A 73773-2021 artfynd.xlsx", "A 73773-2021")</f>
        <v/>
      </c>
      <c r="T22">
        <f>HYPERLINK("https://klasma.github.io/Logging_0139/kartor/A 73773-2021 karta.png", "A 73773-2021")</f>
        <v/>
      </c>
      <c r="V22">
        <f>HYPERLINK("https://klasma.github.io/Logging_0139/klagomål/A 73773-2021 FSC-klagomål.docx", "A 73773-2021")</f>
        <v/>
      </c>
      <c r="W22">
        <f>HYPERLINK("https://klasma.github.io/Logging_0139/klagomålsmail/A 73773-2021 FSC-klagomål mail.docx", "A 73773-2021")</f>
        <v/>
      </c>
      <c r="X22">
        <f>HYPERLINK("https://klasma.github.io/Logging_0139/tillsyn/A 73773-2021 tillsynsbegäran.docx", "A 73773-2021")</f>
        <v/>
      </c>
      <c r="Y22">
        <f>HYPERLINK("https://klasma.github.io/Logging_0139/tillsynsmail/A 73773-2021 tillsynsbegäran mail.docx", "A 73773-2021")</f>
        <v/>
      </c>
    </row>
    <row r="23" ht="15" customHeight="1">
      <c r="A23" t="inlineStr">
        <is>
          <t>A 2409-2026</t>
        </is>
      </c>
      <c r="B23" s="1" t="n">
        <v>46034</v>
      </c>
      <c r="C23" s="1" t="n">
        <v>46194</v>
      </c>
      <c r="D23" t="inlineStr">
        <is>
          <t>STOCKHOLMS LÄN</t>
        </is>
      </c>
      <c r="E23" t="inlineStr">
        <is>
          <t>UPPLANDS-BRO</t>
        </is>
      </c>
      <c r="G23" t="n">
        <v>14.2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HYPERLINK("https://klasma.github.io/Logging_0139/artfynd/A 2409-2026 artfynd.xlsx", "A 2409-2026")</f>
        <v/>
      </c>
      <c r="T23">
        <f>HYPERLINK("https://klasma.github.io/Logging_0139/kartor/A 2409-2026 karta.png", "A 2409-2026")</f>
        <v/>
      </c>
      <c r="V23">
        <f>HYPERLINK("https://klasma.github.io/Logging_0139/klagomål/A 2409-2026 FSC-klagomål.docx", "A 2409-2026")</f>
        <v/>
      </c>
      <c r="W23">
        <f>HYPERLINK("https://klasma.github.io/Logging_0139/klagomålsmail/A 2409-2026 FSC-klagomål mail.docx", "A 2409-2026")</f>
        <v/>
      </c>
      <c r="X23">
        <f>HYPERLINK("https://klasma.github.io/Logging_0139/tillsyn/A 2409-2026 tillsynsbegäran.docx", "A 2409-2026")</f>
        <v/>
      </c>
      <c r="Y23">
        <f>HYPERLINK("https://klasma.github.io/Logging_0139/tillsynsmail/A 2409-2026 tillsynsbegäran mail.docx", "A 2409-2026")</f>
        <v/>
      </c>
      <c r="Z23">
        <f>HYPERLINK("https://klasma.github.io/Logging_0139/fåglar/A 2409-2026 prioriterade fågelarter.docx", "A 2409-2026")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46194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37421-2021</t>
        </is>
      </c>
      <c r="B25" s="1" t="n">
        <v>44397</v>
      </c>
      <c r="C25" s="1" t="n">
        <v>46194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41465-2021</t>
        </is>
      </c>
      <c r="B26" s="1" t="n">
        <v>44424</v>
      </c>
      <c r="C26" s="1" t="n">
        <v>46194</v>
      </c>
      <c r="D26" t="inlineStr">
        <is>
          <t>STOCKHOLMS LÄN</t>
        </is>
      </c>
      <c r="E26" t="inlineStr">
        <is>
          <t>UPPLANDS-BRO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8261-2022</t>
        </is>
      </c>
      <c r="B27" s="1" t="n">
        <v>44609</v>
      </c>
      <c r="C27" s="1" t="n">
        <v>46194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58663-2021</t>
        </is>
      </c>
      <c r="B28" s="1" t="n">
        <v>44489</v>
      </c>
      <c r="C28" s="1" t="n">
        <v>46194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72523-2021</t>
        </is>
      </c>
      <c r="B29" s="1" t="n">
        <v>44546</v>
      </c>
      <c r="C29" s="1" t="n">
        <v>46194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46244-2021</t>
        </is>
      </c>
      <c r="B30" s="1" t="n">
        <v>44442</v>
      </c>
      <c r="C30" s="1" t="n">
        <v>46194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46194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3838-2022</t>
        </is>
      </c>
      <c r="B32" s="1" t="n">
        <v>44587</v>
      </c>
      <c r="C32" s="1" t="n">
        <v>46194</v>
      </c>
      <c r="D32" t="inlineStr">
        <is>
          <t>STOCKHOLMS LÄN</t>
        </is>
      </c>
      <c r="E32" t="inlineStr">
        <is>
          <t>UPPLANDS-BRO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36111-2021</t>
        </is>
      </c>
      <c r="B33" s="1" t="n">
        <v>44389</v>
      </c>
      <c r="C33" s="1" t="n">
        <v>46194</v>
      </c>
      <c r="D33" t="inlineStr">
        <is>
          <t>STOCKHOLMS LÄN</t>
        </is>
      </c>
      <c r="E33" t="inlineStr">
        <is>
          <t>UPPLANDS-BRO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46194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46194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46194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7275-2022</t>
        </is>
      </c>
      <c r="B37" s="1" t="n">
        <v>44606</v>
      </c>
      <c r="C37" s="1" t="n">
        <v>46194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46194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46194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46194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46194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46194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46194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64105-2023</t>
        </is>
      </c>
      <c r="B44" s="1" t="n">
        <v>45279</v>
      </c>
      <c r="C44" s="1" t="n">
        <v>46194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40514-2021</t>
        </is>
      </c>
      <c r="B45" s="1" t="n">
        <v>44420</v>
      </c>
      <c r="C45" s="1" t="n">
        <v>46194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46194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46194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46194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46194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7112-2025</t>
        </is>
      </c>
      <c r="B50" s="1" t="n">
        <v>45701</v>
      </c>
      <c r="C50" s="1" t="n">
        <v>46194</v>
      </c>
      <c r="D50" t="inlineStr">
        <is>
          <t>STOCKHOLMS LÄN</t>
        </is>
      </c>
      <c r="E50" t="inlineStr">
        <is>
          <t>UPPLANDS-BRO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46194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23615-2025</t>
        </is>
      </c>
      <c r="B52" s="1" t="n">
        <v>45792</v>
      </c>
      <c r="C52" s="1" t="n">
        <v>46194</v>
      </c>
      <c r="D52" t="inlineStr">
        <is>
          <t>STOCKHOLMS LÄN</t>
        </is>
      </c>
      <c r="E52" t="inlineStr">
        <is>
          <t>UPPLANDS-BRO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23627-2025</t>
        </is>
      </c>
      <c r="B53" s="1" t="n">
        <v>45792</v>
      </c>
      <c r="C53" s="1" t="n">
        <v>46194</v>
      </c>
      <c r="D53" t="inlineStr">
        <is>
          <t>STOCKHOLMS LÄN</t>
        </is>
      </c>
      <c r="E53" t="inlineStr">
        <is>
          <t>UPPLANDS-BRO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26196-2026</t>
        </is>
      </c>
      <c r="B54" s="1" t="n">
        <v>46182</v>
      </c>
      <c r="C54" s="1" t="n">
        <v>46194</v>
      </c>
      <c r="D54" t="inlineStr">
        <is>
          <t>STOCKHOLMS LÄN</t>
        </is>
      </c>
      <c r="E54" t="inlineStr">
        <is>
          <t>UPPLANDS-BRO</t>
        </is>
      </c>
      <c r="G54" t="n">
        <v>53.1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46194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46194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26625-2026</t>
        </is>
      </c>
      <c r="B57" s="1" t="n">
        <v>46184</v>
      </c>
      <c r="C57" s="1" t="n">
        <v>46194</v>
      </c>
      <c r="D57" t="inlineStr">
        <is>
          <t>STOCKHOLMS LÄN</t>
        </is>
      </c>
      <c r="E57" t="inlineStr">
        <is>
          <t>UPPLANDS-BRO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26633-2026</t>
        </is>
      </c>
      <c r="B58" s="1" t="n">
        <v>46184</v>
      </c>
      <c r="C58" s="1" t="n">
        <v>46194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26629-2026</t>
        </is>
      </c>
      <c r="B59" s="1" t="n">
        <v>46184</v>
      </c>
      <c r="C59" s="1" t="n">
        <v>46194</v>
      </c>
      <c r="D59" t="inlineStr">
        <is>
          <t>STOCKHOLMS LÄN</t>
        </is>
      </c>
      <c r="E59" t="inlineStr">
        <is>
          <t>UPPLANDS-BRO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4338-2023</t>
        </is>
      </c>
      <c r="B60" s="1" t="n">
        <v>44953</v>
      </c>
      <c r="C60" s="1" t="n">
        <v>46194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46194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46194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64107-2023</t>
        </is>
      </c>
      <c r="B63" s="1" t="n">
        <v>45279</v>
      </c>
      <c r="C63" s="1" t="n">
        <v>46194</v>
      </c>
      <c r="D63" t="inlineStr">
        <is>
          <t>STOCKHOLMS LÄN</t>
        </is>
      </c>
      <c r="E63" t="inlineStr">
        <is>
          <t>UPPLANDS-BRO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21206-2026</t>
        </is>
      </c>
      <c r="B64" s="1" t="n">
        <v>46146</v>
      </c>
      <c r="C64" s="1" t="n">
        <v>46194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23093-2024</t>
        </is>
      </c>
      <c r="B65" s="1" t="n">
        <v>45450</v>
      </c>
      <c r="C65" s="1" t="n">
        <v>46194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46194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</v>
      </c>
      <c r="C67" s="1" t="n">
        <v>46194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21208-2026</t>
        </is>
      </c>
      <c r="B68" s="1" t="n">
        <v>46146</v>
      </c>
      <c r="C68" s="1" t="n">
        <v>46194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2046-2026</t>
        </is>
      </c>
      <c r="B69" s="1" t="n">
        <v>46031</v>
      </c>
      <c r="C69" s="1" t="n">
        <v>46194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46194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3754-2026</t>
        </is>
      </c>
      <c r="B71" s="1" t="n">
        <v>46043</v>
      </c>
      <c r="C71" s="1" t="n">
        <v>46194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46194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46194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46194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46194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46194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24579-2026</t>
        </is>
      </c>
      <c r="B77" s="1" t="n">
        <v>46170</v>
      </c>
      <c r="C77" s="1" t="n">
        <v>46194</v>
      </c>
      <c r="D77" t="inlineStr">
        <is>
          <t>STOCKHOLMS LÄN</t>
        </is>
      </c>
      <c r="E77" t="inlineStr">
        <is>
          <t>UPPLANDS-BRO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18813-2026</t>
        </is>
      </c>
      <c r="B78" s="1" t="n">
        <v>46128</v>
      </c>
      <c r="C78" s="1" t="n">
        <v>46194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46194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46194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3596-2026</t>
        </is>
      </c>
      <c r="B81" s="1" t="n">
        <v>46042</v>
      </c>
      <c r="C81" s="1" t="n">
        <v>46194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58598-2025</t>
        </is>
      </c>
      <c r="B82" s="1" t="n">
        <v>45986</v>
      </c>
      <c r="C82" s="1" t="n">
        <v>46194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