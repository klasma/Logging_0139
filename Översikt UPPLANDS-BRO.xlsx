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46308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46308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18772-2026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46308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19.5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Svedjenäva
Fläcknycklar</t>
        </is>
      </c>
      <c r="W5">
        <f>HYPERLINK("https://klasma.github.io/Logging_0139/artfynd/A 18772-2026 artfynd.xlsx", "A 18772-2026")</f>
        <v/>
      </c>
      <c r="X5">
        <f>HYPERLINK("https://klasma.github.io/Logging_0139/kartor/A 18772-2026 karta.png", "A 18772-2026")</f>
        <v/>
      </c>
      <c r="Y5">
        <f>HYPERLINK("https://klasma.github.io/Logging_0139/kartor_geotiff/A 18772-2026 georefererad karta.tif", "A 18772-2026")</f>
        <v/>
      </c>
      <c r="AA5">
        <f>HYPERLINK("https://klasma.github.io/Logging_0139/klagomål/A 18772-2026 FSC-klagomål.docx", "A 18772-2026")</f>
        <v/>
      </c>
      <c r="AB5">
        <f>HYPERLINK("https://klasma.github.io/Logging_0139/klagomålsmail/A 18772-2026 FSC-klagomål mail.docx", "A 18772-2026")</f>
        <v/>
      </c>
      <c r="AC5">
        <f>HYPERLINK("https://klasma.github.io/Logging_0139/tillsyn/A 18772-2026 tillsynsbegäran.docx", "A 18772-2026")</f>
        <v/>
      </c>
      <c r="AD5">
        <f>HYPERLINK("https://klasma.github.io/Logging_0139/tillsynsmail/A 18772-2026 tillsynsbegäran mail.docx", "A 18772-2026")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46308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46308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73773-2021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44552</v>
      </c>
      <c r="E8" s="1" t="n">
        <v>46308</v>
      </c>
      <c r="F8" t="inlineStr">
        <is>
          <t>STOCKHOLMS LÄN</t>
        </is>
      </c>
      <c r="G8" t="inlineStr">
        <is>
          <t>UPPLANDS-BRO</t>
        </is>
      </c>
      <c r="I8" t="n">
        <v>1.9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Kopparödla
Gullviva</t>
        </is>
      </c>
      <c r="W8">
        <f>HYPERLINK("https://klasma.github.io/Logging_0139/artfynd/A 73773-2021 artfynd.xlsx", "A 73773-2021")</f>
        <v/>
      </c>
      <c r="X8">
        <f>HYPERLINK("https://klasma.github.io/Logging_0139/kartor/A 73773-2021 karta.png", "A 73773-2021")</f>
        <v/>
      </c>
      <c r="Y8">
        <f>HYPERLINK("https://klasma.github.io/Logging_0139/kartor_geotiff/A 73773-2021 georefererad karta.tif", "A 73773-2021")</f>
        <v/>
      </c>
      <c r="AA8">
        <f>HYPERLINK("https://klasma.github.io/Logging_0139/klagomål/A 73773-2021 FSC-klagomål.docx", "A 73773-2021")</f>
        <v/>
      </c>
      <c r="AB8">
        <f>HYPERLINK("https://klasma.github.io/Logging_0139/klagomålsmail/A 73773-2021 FSC-klagomål mail.docx", "A 73773-2021")</f>
        <v/>
      </c>
      <c r="AC8">
        <f>HYPERLINK("https://klasma.github.io/Logging_0139/tillsyn/A 73773-2021 tillsynsbegäran.docx", "A 73773-2021")</f>
        <v/>
      </c>
      <c r="AD8">
        <f>HYPERLINK("https://klasma.github.io/Logging_0139/tillsynsmail/A 73773-2021 tillsynsbegäran mail.docx", "A 73773-2021")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46308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46308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46308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26196-2026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46182</v>
      </c>
      <c r="E12" s="1" t="n">
        <v>46308</v>
      </c>
      <c r="F12" t="inlineStr">
        <is>
          <t>STOCKHOLMS LÄN</t>
        </is>
      </c>
      <c r="G12" t="inlineStr">
        <is>
          <t>UPPLANDS-BRO</t>
        </is>
      </c>
      <c r="I12" t="n">
        <v>53.1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Liljekonvalj</t>
        </is>
      </c>
      <c r="W12">
        <f>HYPERLINK("https://klasma.github.io/Logging_0139/artfynd/A 26196-2026 artfynd.xlsx", "A 26196-2026")</f>
        <v/>
      </c>
      <c r="X12">
        <f>HYPERLINK("https://klasma.github.io/Logging_0139/kartor/A 26196-2026 karta.png", "A 26196-2026")</f>
        <v/>
      </c>
      <c r="Y12">
        <f>HYPERLINK("https://klasma.github.io/Logging_0139/kartor_geotiff/A 26196-2026 georefererad karta.tif", "A 26196-2026")</f>
        <v/>
      </c>
      <c r="AA12">
        <f>HYPERLINK("https://klasma.github.io/Logging_0139/klagomål/A 26196-2026 FSC-klagomål.docx", "A 26196-2026")</f>
        <v/>
      </c>
      <c r="AB12">
        <f>HYPERLINK("https://klasma.github.io/Logging_0139/klagomålsmail/A 26196-2026 FSC-klagomål mail.docx", "A 26196-2026")</f>
        <v/>
      </c>
      <c r="AC12">
        <f>HYPERLINK("https://klasma.github.io/Logging_0139/tillsyn/A 26196-2026 tillsynsbegäran.docx", "A 26196-2026")</f>
        <v/>
      </c>
      <c r="AD12">
        <f>HYPERLINK("https://klasma.github.io/Logging_0139/tillsynsmail/A 26196-2026 tillsynsbegäran mail.docx", "A 26196-2026")</f>
        <v/>
      </c>
    </row>
    <row r="13" ht="15" customHeight="1">
      <c r="A13" t="inlineStr">
        <is>
          <t>A 64098-2023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45279</v>
      </c>
      <c r="E13" s="1" t="n">
        <v>46308</v>
      </c>
      <c r="F13" t="inlineStr">
        <is>
          <t>STOCKHOLMS LÄN</t>
        </is>
      </c>
      <c r="G13" t="inlineStr">
        <is>
          <t>UPPLANDS-BRO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Skogsalmsdvärgmal</t>
        </is>
      </c>
      <c r="W13">
        <f>HYPERLINK("https://klasma.github.io/Logging_0139/artfynd/A 64098-2023 artfynd.xlsx", "A 64098-2023")</f>
        <v/>
      </c>
      <c r="X13">
        <f>HYPERLINK("https://klasma.github.io/Logging_0139/kartor/A 64098-2023 karta.png", "A 64098-2023")</f>
        <v/>
      </c>
      <c r="Y13">
        <f>HYPERLINK("https://klasma.github.io/Logging_0139/kartor_geotiff/A 64098-2023 georefererad karta.tif", "A 64098-2023")</f>
        <v/>
      </c>
      <c r="AA13">
        <f>HYPERLINK("https://klasma.github.io/Logging_0139/klagomål/A 64098-2023 FSC-klagomål.docx", "A 64098-2023")</f>
        <v/>
      </c>
      <c r="AB13">
        <f>HYPERLINK("https://klasma.github.io/Logging_0139/klagomålsmail/A 64098-2023 FSC-klagomål mail.docx", "A 64098-2023")</f>
        <v/>
      </c>
      <c r="AC13">
        <f>HYPERLINK("https://klasma.github.io/Logging_0139/tillsyn/A 64098-2023 tillsynsbegäran.docx", "A 64098-2023")</f>
        <v/>
      </c>
      <c r="AD13">
        <f>HYPERLINK("https://klasma.github.io/Logging_0139/tillsynsmail/A 64098-2023 tillsynsbegäran mail.docx", "A 64098-2023")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46308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46308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HYPERLINK("https://klasma.github.io/Logging_0139/artfynd/A 2062-2025 artfynd.xlsx", "A 2062-2025")</f>
        <v/>
      </c>
      <c r="X15">
        <f>HYPERLINK("https://klasma.github.io/Logging_0139/kartor/A 2062-2025 karta.png", "A 2062-2025")</f>
        <v/>
      </c>
      <c r="Y15">
        <f>HYPERLINK("https://klasma.github.io/Logging_0139/kartor_geotiff/A 2062-2025 georefererad karta.tif", "A 2062-2025")</f>
        <v/>
      </c>
      <c r="AA15">
        <f>HYPERLINK("https://klasma.github.io/Logging_0139/klagomål/A 2062-2025 FSC-klagomål.docx", "A 2062-2025")</f>
        <v/>
      </c>
      <c r="AB15">
        <f>HYPERLINK("https://klasma.github.io/Logging_0139/klagomålsmail/A 2062-2025 FSC-klagomål mail.docx", "A 2062-2025")</f>
        <v/>
      </c>
      <c r="AC15">
        <f>HYPERLINK("https://klasma.github.io/Logging_0139/tillsyn/A 2062-2025 tillsynsbegäran.docx", "A 2062-2025")</f>
        <v/>
      </c>
      <c r="AD15">
        <f>HYPERLINK("https://klasma.github.io/Logging_0139/tillsynsmail/A 2062-2025 tillsynsbegäran mail.docx", "A 2062-2025")</f>
        <v/>
      </c>
      <c r="AE15">
        <f>HYPERLINK("https://klasma.github.io/Logging_0139/fåglar/A 2062-2025 prioriterade fågelarter.docx", "A 2062-2025")</f>
        <v/>
      </c>
    </row>
    <row r="16" ht="15" customHeight="1">
      <c r="A16" t="inlineStr">
        <is>
          <t>A 25561-2025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45803</v>
      </c>
      <c r="E16" s="1" t="n">
        <v>46308</v>
      </c>
      <c r="F16" t="inlineStr">
        <is>
          <t>STOCKHOLMS LÄN</t>
        </is>
      </c>
      <c r="G16" t="inlineStr">
        <is>
          <t>UPPLANDS-BRO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25561-2025 artfynd.xlsx", "A 25561-2025")</f>
        <v/>
      </c>
      <c r="X16">
        <f>HYPERLINK("https://klasma.github.io/Logging_0139/kartor/A 25561-2025 karta.png", "A 25561-2025")</f>
        <v/>
      </c>
      <c r="Y16">
        <f>HYPERLINK("https://klasma.github.io/Logging_0139/kartor_geotiff/A 25561-2025 georefererad karta.tif", "A 25561-2025")</f>
        <v/>
      </c>
      <c r="AA16">
        <f>HYPERLINK("https://klasma.github.io/Logging_0139/klagomål/A 25561-2025 FSC-klagomål.docx", "A 25561-2025")</f>
        <v/>
      </c>
      <c r="AB16">
        <f>HYPERLINK("https://klasma.github.io/Logging_0139/klagomålsmail/A 25561-2025 FSC-klagomål mail.docx", "A 25561-2025")</f>
        <v/>
      </c>
      <c r="AC16">
        <f>HYPERLINK("https://klasma.github.io/Logging_0139/tillsyn/A 25561-2025 tillsynsbegäran.docx", "A 25561-2025")</f>
        <v/>
      </c>
      <c r="AD16">
        <f>HYPERLINK("https://klasma.github.io/Logging_0139/tillsynsmail/A 25561-2025 tillsynsbegäran mail.docx", "A 25561-2025")</f>
        <v/>
      </c>
    </row>
    <row r="17" ht="15" customHeight="1">
      <c r="A17" t="inlineStr">
        <is>
          <t>A 26637-2026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46308</v>
      </c>
      <c r="F17" t="inlineStr">
        <is>
          <t>STOCKHOLMS LÄN</t>
        </is>
      </c>
      <c r="G17" t="inlineStr">
        <is>
          <t>UPPLANDS-BRO</t>
        </is>
      </c>
      <c r="I17" t="n">
        <v>5.4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HYPERLINK("https://klasma.github.io/Logging_0139/artfynd/A 26637-2026 artfynd.xlsx", "A 26637-2026")</f>
        <v/>
      </c>
      <c r="X17">
        <f>HYPERLINK("https://klasma.github.io/Logging_0139/kartor/A 26637-2026 karta.png", "A 26637-2026")</f>
        <v/>
      </c>
      <c r="Y17">
        <f>HYPERLINK("https://klasma.github.io/Logging_0139/kartor_geotiff/A 26637-2026 georefererad karta.tif", "A 26637-2026")</f>
        <v/>
      </c>
      <c r="AA17">
        <f>HYPERLINK("https://klasma.github.io/Logging_0139/klagomål/A 26637-2026 FSC-klagomål.docx", "A 26637-2026")</f>
        <v/>
      </c>
      <c r="AB17">
        <f>HYPERLINK("https://klasma.github.io/Logging_0139/klagomålsmail/A 26637-2026 FSC-klagomål mail.docx", "A 26637-2026")</f>
        <v/>
      </c>
      <c r="AC17">
        <f>HYPERLINK("https://klasma.github.io/Logging_0139/tillsyn/A 26637-2026 tillsynsbegäran.docx", "A 26637-2026")</f>
        <v/>
      </c>
      <c r="AD17">
        <f>HYPERLINK("https://klasma.github.io/Logging_0139/tillsynsmail/A 26637-2026 tillsynsbegäran mail.docx", "A 26637-2026")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46308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23099-2024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46308</v>
      </c>
      <c r="F19" t="inlineStr">
        <is>
          <t>STOCKHOLMS LÄN</t>
        </is>
      </c>
      <c r="G19" t="inlineStr">
        <is>
          <t>UPPLANDS-BRO</t>
        </is>
      </c>
      <c r="H19" t="inlineStr">
        <is>
          <t>Övriga statliga verk och myndigheter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Bredbrämad bastardsvärmare</t>
        </is>
      </c>
      <c r="W19">
        <f>HYPERLINK("https://klasma.github.io/Logging_0139/artfynd/A 23099-2024 artfynd.xlsx", "A 23099-2024")</f>
        <v/>
      </c>
      <c r="X19">
        <f>HYPERLINK("https://klasma.github.io/Logging_0139/kartor/A 23099-2024 karta.png", "A 23099-2024")</f>
        <v/>
      </c>
      <c r="Y19">
        <f>HYPERLINK("https://klasma.github.io/Logging_0139/kartor_geotiff/A 23099-2024 georefererad karta.tif", "A 23099-2024")</f>
        <v/>
      </c>
      <c r="AA19">
        <f>HYPERLINK("https://klasma.github.io/Logging_0139/klagomål/A 23099-2024 FSC-klagomål.docx", "A 23099-2024")</f>
        <v/>
      </c>
      <c r="AB19">
        <f>HYPERLINK("https://klasma.github.io/Logging_0139/klagomålsmail/A 23099-2024 FSC-klagomål mail.docx", "A 23099-2024")</f>
        <v/>
      </c>
      <c r="AC19">
        <f>HYPERLINK("https://klasma.github.io/Logging_0139/tillsyn/A 23099-2024 tillsynsbegäran.docx", "A 23099-2024")</f>
        <v/>
      </c>
      <c r="AD19">
        <f>HYPERLINK("https://klasma.github.io/Logging_0139/tillsynsmail/A 23099-2024 tillsynsbegäran mail.docx", "A 23099-2024")</f>
        <v/>
      </c>
    </row>
    <row r="20" ht="15" customHeight="1">
      <c r="A20" t="inlineStr">
        <is>
          <t>A 46438-2023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45197</v>
      </c>
      <c r="E20" s="1" t="n">
        <v>46308</v>
      </c>
      <c r="F20" t="inlineStr">
        <is>
          <t>STOCKHOLMS LÄN</t>
        </is>
      </c>
      <c r="G20" t="inlineStr">
        <is>
          <t>UPPLANDS-BRO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HYPERLINK("https://klasma.github.io/Logging_0139/artfynd/A 46438-2023 artfynd.xlsx", "A 46438-2023")</f>
        <v/>
      </c>
      <c r="X20">
        <f>HYPERLINK("https://klasma.github.io/Logging_0139/kartor/A 46438-2023 karta.png", "A 46438-2023")</f>
        <v/>
      </c>
      <c r="Y20">
        <f>HYPERLINK("https://klasma.github.io/Logging_0139/kartor_geotiff/A 46438-2023 georefererad karta.tif", "A 46438-2023")</f>
        <v/>
      </c>
      <c r="AA20">
        <f>HYPERLINK("https://klasma.github.io/Logging_0139/klagomål/A 46438-2023 FSC-klagomål.docx", "A 46438-2023")</f>
        <v/>
      </c>
      <c r="AB20">
        <f>HYPERLINK("https://klasma.github.io/Logging_0139/klagomålsmail/A 46438-2023 FSC-klagomål mail.docx", "A 46438-2023")</f>
        <v/>
      </c>
      <c r="AC20">
        <f>HYPERLINK("https://klasma.github.io/Logging_0139/tillsyn/A 46438-2023 tillsynsbegäran.docx", "A 46438-2023")</f>
        <v/>
      </c>
      <c r="AD20">
        <f>HYPERLINK("https://klasma.github.io/Logging_0139/tillsynsmail/A 46438-2023 tillsynsbegäran mail.docx", "A 46438-2023")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46308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7955-2023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46308</v>
      </c>
      <c r="F22" t="inlineStr">
        <is>
          <t>STOCKHOLMS LÄN</t>
        </is>
      </c>
      <c r="G22" t="inlineStr">
        <is>
          <t>UPPLANDS-BRO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Bombmurkla</t>
        </is>
      </c>
      <c r="W22">
        <f>HYPERLINK("https://klasma.github.io/Logging_0139/artfynd/A 7955-2023 artfynd.xlsx", "A 7955-2023")</f>
        <v/>
      </c>
      <c r="X22">
        <f>HYPERLINK("https://klasma.github.io/Logging_0139/kartor/A 7955-2023 karta.png", "A 7955-2023")</f>
        <v/>
      </c>
      <c r="Y22">
        <f>HYPERLINK("https://klasma.github.io/Logging_0139/kartor_geotiff/A 7955-2023 georefererad karta.tif", "A 7955-2023")</f>
        <v/>
      </c>
      <c r="AA22">
        <f>HYPERLINK("https://klasma.github.io/Logging_0139/klagomål/A 7955-2023 FSC-klagomål.docx", "A 7955-2023")</f>
        <v/>
      </c>
      <c r="AB22">
        <f>HYPERLINK("https://klasma.github.io/Logging_0139/klagomålsmail/A 7955-2023 FSC-klagomål mail.docx", "A 7955-2023")</f>
        <v/>
      </c>
      <c r="AC22">
        <f>HYPERLINK("https://klasma.github.io/Logging_0139/tillsyn/A 7955-2023 tillsynsbegäran.docx", "A 7955-2023")</f>
        <v/>
      </c>
      <c r="AD22">
        <f>HYPERLINK("https://klasma.github.io/Logging_0139/tillsynsmail/A 7955-2023 tillsynsbegäran mail.docx", "A 7955-2023")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46308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46308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46308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46308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46308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46308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46308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64105-2023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46308</v>
      </c>
      <c r="F30" t="inlineStr">
        <is>
          <t>STOCKHOLMS LÄN</t>
        </is>
      </c>
      <c r="G30" t="inlineStr">
        <is>
          <t>UPPLANDS-BRO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44606</v>
      </c>
      <c r="E31" s="1" t="n">
        <v>46308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9.6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31160-2022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44770</v>
      </c>
      <c r="E32" s="1" t="n">
        <v>46308</v>
      </c>
      <c r="F32" t="inlineStr">
        <is>
          <t>STOCKHOLMS LÄN</t>
        </is>
      </c>
      <c r="G32" t="inlineStr">
        <is>
          <t>UPPLANDS-BRO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58598-2025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45986</v>
      </c>
      <c r="E33" s="1" t="n">
        <v>46308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46308</v>
      </c>
      <c r="F34" t="inlineStr">
        <is>
          <t>STOCKHOLMS LÄN</t>
        </is>
      </c>
      <c r="G34" t="inlineStr">
        <is>
          <t>UPPLANDS-BRO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45313</v>
      </c>
      <c r="E35" s="1" t="n">
        <v>46308</v>
      </c>
      <c r="F35" t="inlineStr">
        <is>
          <t>STOCKHOLMS LÄN</t>
        </is>
      </c>
      <c r="G35" t="inlineStr">
        <is>
          <t>UPPLANDS-BRO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46308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46308</v>
      </c>
      <c r="F37" t="inlineStr">
        <is>
          <t>STOCKHOLMS LÄN</t>
        </is>
      </c>
      <c r="G37" t="inlineStr">
        <is>
          <t>UPPLANDS-BRO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46308</v>
      </c>
      <c r="F38" t="inlineStr">
        <is>
          <t>STOCKHOLMS LÄN</t>
        </is>
      </c>
      <c r="G38" t="inlineStr">
        <is>
          <t>UPPLANDS-BRO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46308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28735-2026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46198</v>
      </c>
      <c r="E40" s="1" t="n">
        <v>46308</v>
      </c>
      <c r="F40" t="inlineStr">
        <is>
          <t>STOCKHOLMS LÄN</t>
        </is>
      </c>
      <c r="G40" t="inlineStr">
        <is>
          <t>UPPLANDS-BRO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38902-2024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46308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46308</v>
      </c>
      <c r="F42" t="inlineStr">
        <is>
          <t>STOCKHOLMS LÄN</t>
        </is>
      </c>
      <c r="G42" t="inlineStr">
        <is>
          <t>UPPLANDS-BRO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46308</v>
      </c>
      <c r="F43" t="inlineStr">
        <is>
          <t>STOCKHOLMS LÄN</t>
        </is>
      </c>
      <c r="G43" t="inlineStr">
        <is>
          <t>UPPLANDS-BRO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45792</v>
      </c>
      <c r="E44" s="1" t="n">
        <v>46308</v>
      </c>
      <c r="F44" t="inlineStr">
        <is>
          <t>STOCKHOLMS LÄN</t>
        </is>
      </c>
      <c r="G44" t="inlineStr">
        <is>
          <t>UPPLANDS-BRO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46308</v>
      </c>
      <c r="F45" t="inlineStr">
        <is>
          <t>STOCKHOLMS LÄN</t>
        </is>
      </c>
      <c r="G45" t="inlineStr">
        <is>
          <t>UPPLANDS-BRO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31714-2026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46226</v>
      </c>
      <c r="E46" s="1" t="n">
        <v>46308</v>
      </c>
      <c r="F46" t="inlineStr">
        <is>
          <t>STOCKHOLMS LÄN</t>
        </is>
      </c>
      <c r="G46" t="inlineStr">
        <is>
          <t>UPPLANDS-BRO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33058-2026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46245</v>
      </c>
      <c r="E47" s="1" t="n">
        <v>46308</v>
      </c>
      <c r="F47" t="inlineStr">
        <is>
          <t>STOCKHOLMS LÄN</t>
        </is>
      </c>
      <c r="G47" t="inlineStr">
        <is>
          <t>UPPLANDS-BRO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9655-2026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46308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44950</v>
      </c>
      <c r="E49" s="1" t="n">
        <v>46308</v>
      </c>
      <c r="F49" t="inlineStr">
        <is>
          <t>STOCKHOLMS LÄN</t>
        </is>
      </c>
      <c r="G49" t="inlineStr">
        <is>
          <t>UPPLANDS-BRO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46308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45225</v>
      </c>
      <c r="E51" s="1" t="n">
        <v>46308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46308</v>
      </c>
      <c r="F52" t="inlineStr">
        <is>
          <t>STOCKHOLMS LÄN</t>
        </is>
      </c>
      <c r="G52" t="inlineStr">
        <is>
          <t>UPPLANDS-BRO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46308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46308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46308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46308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7860-2024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46308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27313-2023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45096</v>
      </c>
      <c r="E58" s="1" t="n">
        <v>46308</v>
      </c>
      <c r="F58" t="inlineStr">
        <is>
          <t>STOCKHOLMS LÄN</t>
        </is>
      </c>
      <c r="G58" t="inlineStr">
        <is>
          <t>UPPLANDS-BRO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21206-2026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46146</v>
      </c>
      <c r="E59" s="1" t="n">
        <v>46308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46308</v>
      </c>
      <c r="F60" t="inlineStr">
        <is>
          <t>STOCKHOLMS LÄN</t>
        </is>
      </c>
      <c r="G60" t="inlineStr">
        <is>
          <t>UPPLANDS-BRO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50294-2023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45216</v>
      </c>
      <c r="E61" s="1" t="n">
        <v>46308</v>
      </c>
      <c r="F61" t="inlineStr">
        <is>
          <t>STOCKHOLMS LÄN</t>
        </is>
      </c>
      <c r="G61" t="inlineStr">
        <is>
          <t>UPPLANDS-BRO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58011-2021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46308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46170</v>
      </c>
      <c r="E63" s="1" t="n">
        <v>46308</v>
      </c>
      <c r="F63" t="inlineStr">
        <is>
          <t>STOCKHOLMS LÄN</t>
        </is>
      </c>
      <c r="G63" t="inlineStr">
        <is>
          <t>UPPLANDS-BRO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46308</v>
      </c>
      <c r="F64" t="inlineStr">
        <is>
          <t>STOCKHOLMS LÄN</t>
        </is>
      </c>
      <c r="G64" t="inlineStr">
        <is>
          <t>UPPLANDS-BRO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45450</v>
      </c>
      <c r="E65" s="1" t="n">
        <v>46308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46308</v>
      </c>
      <c r="F66" t="inlineStr">
        <is>
          <t>STOCKHOLMS LÄN</t>
        </is>
      </c>
      <c r="G66" t="inlineStr">
        <is>
          <t>UPPLANDS-BRO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44906</v>
      </c>
      <c r="E67" s="1" t="n">
        <v>46308</v>
      </c>
      <c r="F67" t="inlineStr">
        <is>
          <t>STOCKHOLMS LÄN</t>
        </is>
      </c>
      <c r="G67" t="inlineStr">
        <is>
          <t>UPPLANDS-BRO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46308</v>
      </c>
      <c r="F68" t="inlineStr">
        <is>
          <t>STOCKHOLMS LÄN</t>
        </is>
      </c>
      <c r="G68" t="inlineStr">
        <is>
          <t>UPPLANDS-BRO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46308</v>
      </c>
      <c r="F69" t="inlineStr">
        <is>
          <t>STOCKHOLMS LÄN</t>
        </is>
      </c>
      <c r="G69" t="inlineStr">
        <is>
          <t>UPPLANDS-BRO</t>
        </is>
      </c>
      <c r="H69" t="inlineStr">
        <is>
          <t>Allmännings- och besparingsskogar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72524-2021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46308</v>
      </c>
      <c r="F70" t="inlineStr">
        <is>
          <t>STOCKHOLMS LÄN</t>
        </is>
      </c>
      <c r="G70" t="inlineStr">
        <is>
          <t>UPPLANDS-BRO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44953</v>
      </c>
      <c r="E71" s="1" t="n">
        <v>46308</v>
      </c>
      <c r="F71" t="inlineStr">
        <is>
          <t>STOCKHOLMS LÄN</t>
        </is>
      </c>
      <c r="G71" t="inlineStr">
        <is>
          <t>UPPLANDS-BRO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46308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46308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46308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2026-10-13T01:57:51Z</dcterms:modified>
</cp:coreProperties>
</file>