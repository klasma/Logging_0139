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46257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46257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46257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46257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46257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46257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46257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46257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46257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46257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46257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23099-2024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46257</v>
      </c>
      <c r="F13" t="inlineStr">
        <is>
          <t>STOCKHOLMS LÄN</t>
        </is>
      </c>
      <c r="G13" t="inlineStr">
        <is>
          <t>UPPLANDS-BRO</t>
        </is>
      </c>
      <c r="H13" t="inlineStr">
        <is>
          <t>Övriga statliga verk och myndigheter</t>
        </is>
      </c>
      <c r="I13" t="n">
        <v>0.7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Bredbrämad bastardsvärmare</t>
        </is>
      </c>
      <c r="W13">
        <f>HYPERLINK("https://klasma.github.io/Logging_0139/artfynd/A 23099-2024 artfynd.xlsx", "A 23099-2024")</f>
        <v/>
      </c>
      <c r="X13">
        <f>HYPERLINK("https://klasma.github.io/Logging_0139/kartor/A 23099-2024 karta.png", "A 23099-2024")</f>
        <v/>
      </c>
      <c r="Y13">
        <f>HYPERLINK("https://klasma.github.io/Logging_0139/kartor_geotiff/A 23099-2024 georefererad karta.tif", "A 23099-2024")</f>
        <v/>
      </c>
      <c r="AA13">
        <f>HYPERLINK("https://klasma.github.io/Logging_0139/klagomål/A 23099-2024 FSC-klagomål.docx", "A 23099-2024")</f>
        <v/>
      </c>
      <c r="AB13">
        <f>HYPERLINK("https://klasma.github.io/Logging_0139/klagomålsmail/A 23099-2024 FSC-klagomål mail.docx", "A 23099-2024")</f>
        <v/>
      </c>
      <c r="AC13">
        <f>HYPERLINK("https://klasma.github.io/Logging_0139/tillsyn/A 23099-2024 tillsynsbegäran.docx", "A 23099-2024")</f>
        <v/>
      </c>
      <c r="AD13">
        <f>HYPERLINK("https://klasma.github.io/Logging_0139/tillsynsmail/A 23099-2024 tillsynsbegäran mail.docx", "A 23099-2024")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46257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46257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73773-2021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44552</v>
      </c>
      <c r="E16" s="1" t="n">
        <v>46257</v>
      </c>
      <c r="F16" t="inlineStr">
        <is>
          <t>STOCKHOLMS LÄN</t>
        </is>
      </c>
      <c r="G16" t="inlineStr">
        <is>
          <t>UPPLANDS-BRO</t>
        </is>
      </c>
      <c r="I16" t="n">
        <v>1.9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Kopparödla</t>
        </is>
      </c>
      <c r="W16">
        <f>HYPERLINK("https://klasma.github.io/Logging_0139/artfynd/A 73773-2021 artfynd.xlsx", "A 73773-2021")</f>
        <v/>
      </c>
      <c r="X16">
        <f>HYPERLINK("https://klasma.github.io/Logging_0139/kartor/A 73773-2021 karta.png", "A 73773-2021")</f>
        <v/>
      </c>
      <c r="Y16">
        <f>HYPERLINK("https://klasma.github.io/Logging_0139/kartor_geotiff/A 73773-2021 georefererad karta.tif", "A 73773-2021")</f>
        <v/>
      </c>
      <c r="AA16">
        <f>HYPERLINK("https://klasma.github.io/Logging_0139/klagomål/A 73773-2021 FSC-klagomål.docx", "A 73773-2021")</f>
        <v/>
      </c>
      <c r="AB16">
        <f>HYPERLINK("https://klasma.github.io/Logging_0139/klagomålsmail/A 73773-2021 FSC-klagomål mail.docx", "A 73773-2021")</f>
        <v/>
      </c>
      <c r="AC16">
        <f>HYPERLINK("https://klasma.github.io/Logging_0139/tillsyn/A 73773-2021 tillsynsbegäran.docx", "A 73773-2021")</f>
        <v/>
      </c>
      <c r="AD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45726</v>
      </c>
      <c r="E17" s="1" t="n">
        <v>46257</v>
      </c>
      <c r="F17" t="inlineStr">
        <is>
          <t>STOCKHOLMS LÄN</t>
        </is>
      </c>
      <c r="G17" t="inlineStr">
        <is>
          <t>UPPLANDS-BRO</t>
        </is>
      </c>
      <c r="I17" t="n">
        <v>1.5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Myskbock</t>
        </is>
      </c>
      <c r="W17">
        <f>HYPERLINK("https://klasma.github.io/Logging_0139/artfynd/A 11447-2025 artfynd.xlsx", "A 11447-2025")</f>
        <v/>
      </c>
      <c r="X17">
        <f>HYPERLINK("https://klasma.github.io/Logging_0139/kartor/A 11447-2025 karta.png", "A 11447-2025")</f>
        <v/>
      </c>
      <c r="Y17">
        <f>HYPERLINK("https://klasma.github.io/Logging_0139/kartor_geotiff/A 11447-2025 georefererad karta.tif", "A 11447-2025")</f>
        <v/>
      </c>
      <c r="AA17">
        <f>HYPERLINK("https://klasma.github.io/Logging_0139/klagomål/A 11447-2025 FSC-klagomål.docx", "A 11447-2025")</f>
        <v/>
      </c>
      <c r="AB17">
        <f>HYPERLINK("https://klasma.github.io/Logging_0139/klagomålsmail/A 11447-2025 FSC-klagomål mail.docx", "A 11447-2025")</f>
        <v/>
      </c>
      <c r="AC17">
        <f>HYPERLINK("https://klasma.github.io/Logging_0139/tillsyn/A 11447-2025 tillsynsbegäran.docx", "A 11447-2025")</f>
        <v/>
      </c>
      <c r="AD17">
        <f>HYPERLINK("https://klasma.github.io/Logging_0139/tillsynsmail/A 11447-2025 tillsynsbegäran mail.docx", "A 11447-2025")</f>
        <v/>
      </c>
    </row>
    <row r="18" ht="15" customHeight="1">
      <c r="A18" t="inlineStr">
        <is>
          <t>A 2409-2026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46034</v>
      </c>
      <c r="E18" s="1" t="n">
        <v>46257</v>
      </c>
      <c r="F18" t="inlineStr">
        <is>
          <t>STOCKHOLMS LÄN</t>
        </is>
      </c>
      <c r="G18" t="inlineStr">
        <is>
          <t>UPPLANDS-BRO</t>
        </is>
      </c>
      <c r="I18" t="n">
        <v>14.2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HYPERLINK("https://klasma.github.io/Logging_0139/artfynd/A 2409-2026 artfynd.xlsx", "A 2409-2026")</f>
        <v/>
      </c>
      <c r="X18">
        <f>HYPERLINK("https://klasma.github.io/Logging_0139/kartor/A 2409-2026 karta.png", "A 2409-2026")</f>
        <v/>
      </c>
      <c r="Y18">
        <f>HYPERLINK("https://klasma.github.io/Logging_0139/kartor_geotiff/A 2409-2026 georefererad karta.tif", "A 2409-2026")</f>
        <v/>
      </c>
      <c r="AA18">
        <f>HYPERLINK("https://klasma.github.io/Logging_0139/klagomål/A 2409-2026 FSC-klagomål.docx", "A 2409-2026")</f>
        <v/>
      </c>
      <c r="AB18">
        <f>HYPERLINK("https://klasma.github.io/Logging_0139/klagomålsmail/A 2409-2026 FSC-klagomål mail.docx", "A 2409-2026")</f>
        <v/>
      </c>
      <c r="AC18">
        <f>HYPERLINK("https://klasma.github.io/Logging_0139/tillsyn/A 2409-2026 tillsynsbegäran.docx", "A 2409-2026")</f>
        <v/>
      </c>
      <c r="AD18">
        <f>HYPERLINK("https://klasma.github.io/Logging_0139/tillsynsmail/A 2409-2026 tillsynsbegäran mail.docx", "A 2409-2026")</f>
        <v/>
      </c>
      <c r="AE18">
        <f>HYPERLINK("https://klasma.github.io/Logging_0139/fåglar/A 2409-2026 prioriterade fågelarter.docx", "A 2409-2026")</f>
        <v/>
      </c>
    </row>
    <row r="19" ht="15" customHeight="1">
      <c r="A19" t="inlineStr">
        <is>
          <t>A 7955-2023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46257</v>
      </c>
      <c r="F19" t="inlineStr">
        <is>
          <t>STOCKHOLMS LÄN</t>
        </is>
      </c>
      <c r="G19" t="inlineStr">
        <is>
          <t>UPPLANDS-BRO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Bombmurkla</t>
        </is>
      </c>
      <c r="W19">
        <f>HYPERLINK("https://klasma.github.io/Logging_0139/artfynd/A 7955-2023 artfynd.xlsx", "A 7955-2023")</f>
        <v/>
      </c>
      <c r="X19">
        <f>HYPERLINK("https://klasma.github.io/Logging_0139/kartor/A 7955-2023 karta.png", "A 7955-2023")</f>
        <v/>
      </c>
      <c r="Y19">
        <f>HYPERLINK("https://klasma.github.io/Logging_0139/kartor_geotiff/A 7955-2023 georefererad karta.tif", "A 7955-2023")</f>
        <v/>
      </c>
      <c r="AA19">
        <f>HYPERLINK("https://klasma.github.io/Logging_0139/klagomål/A 7955-2023 FSC-klagomål.docx", "A 7955-2023")</f>
        <v/>
      </c>
      <c r="AB19">
        <f>HYPERLINK("https://klasma.github.io/Logging_0139/klagomålsmail/A 7955-2023 FSC-klagomål mail.docx", "A 7955-2023")</f>
        <v/>
      </c>
      <c r="AC19">
        <f>HYPERLINK("https://klasma.github.io/Logging_0139/tillsyn/A 7955-2023 tillsynsbegäran.docx", "A 7955-2023")</f>
        <v/>
      </c>
      <c r="AD19">
        <f>HYPERLINK("https://klasma.github.io/Logging_0139/tillsynsmail/A 7955-2023 tillsynsbegäran mail.docx", "A 7955-2023")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46257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46257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46257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46257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46257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46257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46257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46257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46257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46257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46257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58011-2021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44487</v>
      </c>
      <c r="E31" s="1" t="n">
        <v>46257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9.199999999999999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44655</v>
      </c>
      <c r="E32" s="1" t="n">
        <v>46257</v>
      </c>
      <c r="F32" t="inlineStr">
        <is>
          <t>STOCKHOLMS LÄN</t>
        </is>
      </c>
      <c r="G32" t="inlineStr">
        <is>
          <t>UPPLANDS-BRO</t>
        </is>
      </c>
      <c r="H32" t="inlineStr">
        <is>
          <t>Allmännings- och besparingsskogar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49622-2021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44455</v>
      </c>
      <c r="E33" s="1" t="n">
        <v>46257</v>
      </c>
      <c r="F33" t="inlineStr">
        <is>
          <t>STOCKHOLMS LÄN</t>
        </is>
      </c>
      <c r="G33" t="inlineStr">
        <is>
          <t>UPPLANDS-BRO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64105-2023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45279</v>
      </c>
      <c r="E34" s="1" t="n">
        <v>46257</v>
      </c>
      <c r="F34" t="inlineStr">
        <is>
          <t>STOCKHOLMS LÄN</t>
        </is>
      </c>
      <c r="G34" t="inlineStr">
        <is>
          <t>UPPLANDS-BRO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45313</v>
      </c>
      <c r="E35" s="1" t="n">
        <v>46257</v>
      </c>
      <c r="F35" t="inlineStr">
        <is>
          <t>STOCKHOLMS LÄN</t>
        </is>
      </c>
      <c r="G35" t="inlineStr">
        <is>
          <t>UPPLANDS-BRO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59844-2022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44901</v>
      </c>
      <c r="E36" s="1" t="n">
        <v>46257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64110-2023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45279</v>
      </c>
      <c r="E37" s="1" t="n">
        <v>46257</v>
      </c>
      <c r="F37" t="inlineStr">
        <is>
          <t>STOCKHOLMS LÄN</t>
        </is>
      </c>
      <c r="G37" t="inlineStr">
        <is>
          <t>UPPLANDS-BRO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45450</v>
      </c>
      <c r="E38" s="1" t="n">
        <v>46257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59377-2024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46257</v>
      </c>
      <c r="F39" t="inlineStr">
        <is>
          <t>STOCKHOLMS LÄN</t>
        </is>
      </c>
      <c r="G39" t="inlineStr">
        <is>
          <t>UPPLANDS-BRO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44950</v>
      </c>
      <c r="E40" s="1" t="n">
        <v>46257</v>
      </c>
      <c r="F40" t="inlineStr">
        <is>
          <t>STOCKHOLMS LÄN</t>
        </is>
      </c>
      <c r="G40" t="inlineStr">
        <is>
          <t>UPPLANDS-BRO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23093-2024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45450</v>
      </c>
      <c r="E41" s="1" t="n">
        <v>46257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59402-2022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44906</v>
      </c>
      <c r="E42" s="1" t="n">
        <v>46257</v>
      </c>
      <c r="F42" t="inlineStr">
        <is>
          <t>STOCKHOLMS LÄN</t>
        </is>
      </c>
      <c r="G42" t="inlineStr">
        <is>
          <t>UPPLANDS-BRO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45225</v>
      </c>
      <c r="E43" s="1" t="n">
        <v>46257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8.300000000000001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7860-2024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46257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44959</v>
      </c>
      <c r="E45" s="1" t="n">
        <v>46257</v>
      </c>
      <c r="F45" t="inlineStr">
        <is>
          <t>STOCKHOLMS LÄN</t>
        </is>
      </c>
      <c r="G45" t="inlineStr">
        <is>
          <t>UPPLANDS-BRO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45096</v>
      </c>
      <c r="E46" s="1" t="n">
        <v>46257</v>
      </c>
      <c r="F46" t="inlineStr">
        <is>
          <t>STOCKHOLMS LÄN</t>
        </is>
      </c>
      <c r="G46" t="inlineStr">
        <is>
          <t>UPPLANDS-BRO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46257</v>
      </c>
      <c r="F47" t="inlineStr">
        <is>
          <t>STOCKHOLMS LÄN</t>
        </is>
      </c>
      <c r="G47" t="inlineStr">
        <is>
          <t>UPPLANDS-BRO</t>
        </is>
      </c>
      <c r="H47" t="inlineStr">
        <is>
          <t>Allmännings- och besparingsskogar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64114-2023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45279</v>
      </c>
      <c r="E48" s="1" t="n">
        <v>46257</v>
      </c>
      <c r="F48" t="inlineStr">
        <is>
          <t>STOCKHOLMS LÄN</t>
        </is>
      </c>
      <c r="G48" t="inlineStr">
        <is>
          <t>UPPLANDS-BRO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50294-2023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46257</v>
      </c>
      <c r="F49" t="inlineStr">
        <is>
          <t>STOCKHOLMS LÄN</t>
        </is>
      </c>
      <c r="G49" t="inlineStr">
        <is>
          <t>UPPLANDS-BRO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72524-2021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46257</v>
      </c>
      <c r="F50" t="inlineStr">
        <is>
          <t>STOCKHOLMS LÄN</t>
        </is>
      </c>
      <c r="G50" t="inlineStr">
        <is>
          <t>UPPLANDS-BRO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46257</v>
      </c>
      <c r="F51" t="inlineStr">
        <is>
          <t>STOCKHOLMS LÄN</t>
        </is>
      </c>
      <c r="G51" t="inlineStr">
        <is>
          <t>UPPLANDS-BRO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46170</v>
      </c>
      <c r="E52" s="1" t="n">
        <v>46257</v>
      </c>
      <c r="F52" t="inlineStr">
        <is>
          <t>STOCKHOLMS LÄN</t>
        </is>
      </c>
      <c r="G52" t="inlineStr">
        <is>
          <t>UPPLANDS-BRO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46257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10.7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44770</v>
      </c>
      <c r="E54" s="1" t="n">
        <v>46257</v>
      </c>
      <c r="F54" t="inlineStr">
        <is>
          <t>STOCKHOLMS LÄN</t>
        </is>
      </c>
      <c r="G54" t="inlineStr">
        <is>
          <t>UPPLANDS-BRO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58598-2025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45986</v>
      </c>
      <c r="E55" s="1" t="n">
        <v>46257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9655-2026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46257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17.2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59700-2021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46257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26196-2026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46182</v>
      </c>
      <c r="E58" s="1" t="n">
        <v>46257</v>
      </c>
      <c r="F58" t="inlineStr">
        <is>
          <t>STOCKHOLMS LÄN</t>
        </is>
      </c>
      <c r="G58" t="inlineStr">
        <is>
          <t>UPPLANDS-BRO</t>
        </is>
      </c>
      <c r="I58" t="n">
        <v>53.1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26633-2026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46257</v>
      </c>
      <c r="F59" t="inlineStr">
        <is>
          <t>STOCKHOLMS LÄN</t>
        </is>
      </c>
      <c r="G59" t="inlineStr">
        <is>
          <t>UPPLANDS-BRO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46257</v>
      </c>
      <c r="F60" t="inlineStr">
        <is>
          <t>STOCKHOLMS LÄN</t>
        </is>
      </c>
      <c r="G60" t="inlineStr">
        <is>
          <t>UPPLANDS-BRO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31714-2026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46226</v>
      </c>
      <c r="E61" s="1" t="n">
        <v>46257</v>
      </c>
      <c r="F61" t="inlineStr">
        <is>
          <t>STOCKHOLMS LÄN</t>
        </is>
      </c>
      <c r="G61" t="inlineStr">
        <is>
          <t>UPPLANDS-BRO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26629-2026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46257</v>
      </c>
      <c r="F62" t="inlineStr">
        <is>
          <t>STOCKHOLMS LÄN</t>
        </is>
      </c>
      <c r="G62" t="inlineStr">
        <is>
          <t>UPPLANDS-BRO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46043</v>
      </c>
      <c r="E63" s="1" t="n">
        <v>46257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46257</v>
      </c>
      <c r="F64" t="inlineStr">
        <is>
          <t>STOCKHOLMS LÄN</t>
        </is>
      </c>
      <c r="G64" t="inlineStr">
        <is>
          <t>UPPLANDS-BRO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28740-2026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46257</v>
      </c>
      <c r="F65" t="inlineStr">
        <is>
          <t>STOCKHOLMS LÄN</t>
        </is>
      </c>
      <c r="G65" t="inlineStr">
        <is>
          <t>UPPLANDS-BRO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46257</v>
      </c>
      <c r="F66" t="inlineStr">
        <is>
          <t>STOCKHOLMS LÄN</t>
        </is>
      </c>
      <c r="G66" t="inlineStr">
        <is>
          <t>UPPLANDS-BRO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46257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18813-2026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46257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56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18818-2026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46257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17.8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46257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7.8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33058-2026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46245</v>
      </c>
      <c r="E71" s="1" t="n">
        <v>46257</v>
      </c>
      <c r="F71" t="inlineStr">
        <is>
          <t>STOCKHOLMS LÄN</t>
        </is>
      </c>
      <c r="G71" t="inlineStr">
        <is>
          <t>UPPLANDS-BRO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46257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9.6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21206-2026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46146</v>
      </c>
      <c r="E73" s="1" t="n">
        <v>46257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64107-2023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46257</v>
      </c>
      <c r="F74" t="inlineStr">
        <is>
          <t>STOCKHOLMS LÄN</t>
        </is>
      </c>
      <c r="G74" t="inlineStr">
        <is>
          <t>UPPLANDS-BRO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46257</v>
      </c>
      <c r="F75" t="inlineStr">
        <is>
          <t>STOCKHOLMS LÄN</t>
        </is>
      </c>
      <c r="G75" t="inlineStr">
        <is>
          <t>UPPLANDS-BRO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46257</v>
      </c>
      <c r="F76" t="inlineStr">
        <is>
          <t>STOCKHOLMS LÄN</t>
        </is>
      </c>
      <c r="G76" t="inlineStr">
        <is>
          <t>UPPLANDS-BRO</t>
        </is>
      </c>
      <c r="H76" t="inlineStr">
        <is>
          <t>Övriga statliga verk och myndigheter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46257</v>
      </c>
      <c r="F77" t="inlineStr">
        <is>
          <t>STOCKHOLMS LÄN</t>
        </is>
      </c>
      <c r="G77" t="inlineStr">
        <is>
          <t>UPPLANDS-BRO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46257</v>
      </c>
      <c r="F78" t="inlineStr">
        <is>
          <t>STOCKHOLMS LÄN</t>
        </is>
      </c>
      <c r="G78" t="inlineStr">
        <is>
          <t>UPPLANDS-BRO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46257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2026-08-23T01:53:33Z</dcterms:created>
  <dcterms:modified xmlns:dcterms="http://purl.org/dc/terms/" xmlns:xsi="http://www.w3.org/2001/XMLSchema-instance" xsi:type="dcterms:W3CDTF">2026-08-23T01:53:33Z</dcterms:modified>
</cp:coreProperties>
</file>