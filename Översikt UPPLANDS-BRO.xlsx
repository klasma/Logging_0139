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46061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46061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46061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46061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46061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46061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46061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46061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46061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46061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2409-2026</t>
        </is>
      </c>
      <c r="B15" s="1" t="n">
        <v>46034</v>
      </c>
      <c r="C15" s="1" t="n">
        <v>46061</v>
      </c>
      <c r="D15" t="inlineStr">
        <is>
          <t>STOCKHOLMS LÄN</t>
        </is>
      </c>
      <c r="E15" t="inlineStr">
        <is>
          <t>UPPLANDS-BRO</t>
        </is>
      </c>
      <c r="G15" t="n">
        <v>14.2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HYPERLINK("https://klasma.github.io/Logging_0139/artfynd/A 2409-2026 artfynd.xlsx", "A 2409-2026")</f>
        <v/>
      </c>
      <c r="T15">
        <f>HYPERLINK("https://klasma.github.io/Logging_0139/kartor/A 2409-2026 karta.png", "A 2409-2026")</f>
        <v/>
      </c>
      <c r="V15">
        <f>HYPERLINK("https://klasma.github.io/Logging_0139/klagomål/A 2409-2026 FSC-klagomål.docx", "A 2409-2026")</f>
        <v/>
      </c>
      <c r="W15">
        <f>HYPERLINK("https://klasma.github.io/Logging_0139/klagomålsmail/A 2409-2026 FSC-klagomål mail.docx", "A 2409-2026")</f>
        <v/>
      </c>
      <c r="X15">
        <f>HYPERLINK("https://klasma.github.io/Logging_0139/tillsyn/A 2409-2026 tillsynsbegäran.docx", "A 2409-2026")</f>
        <v/>
      </c>
      <c r="Y15">
        <f>HYPERLINK("https://klasma.github.io/Logging_0139/tillsynsmail/A 2409-2026 tillsynsbegäran mail.docx", "A 2409-2026")</f>
        <v/>
      </c>
      <c r="Z15">
        <f>HYPERLINK("https://klasma.github.io/Logging_0139/fåglar/A 2409-2026 prioriterade fågelarter.docx", "A 2409-2026")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46061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46061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46061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46061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46061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46061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46061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46061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46061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46061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46061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46061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46061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46061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46061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46061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46061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46061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46061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46061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46061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46061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46061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54222-2023</t>
        </is>
      </c>
      <c r="B39" s="1" t="n">
        <v>45225</v>
      </c>
      <c r="C39" s="1" t="n">
        <v>46061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46061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7110-2025</t>
        </is>
      </c>
      <c r="B41" s="1" t="n">
        <v>45701</v>
      </c>
      <c r="C41" s="1" t="n">
        <v>46061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12378-2025</t>
        </is>
      </c>
      <c r="B42" s="1" t="n">
        <v>45730.38032407407</v>
      </c>
      <c r="C42" s="1" t="n">
        <v>46061</v>
      </c>
      <c r="D42" t="inlineStr">
        <is>
          <t>STOCKHOLMS LÄN</t>
        </is>
      </c>
      <c r="E42" t="inlineStr">
        <is>
          <t>UPPLANDS-BRO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46061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46061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46061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12372-2025</t>
        </is>
      </c>
      <c r="B46" s="1" t="n">
        <v>45730.37740740741</v>
      </c>
      <c r="C46" s="1" t="n">
        <v>46061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50294-2023</t>
        </is>
      </c>
      <c r="B47" s="1" t="n">
        <v>45216</v>
      </c>
      <c r="C47" s="1" t="n">
        <v>46061</v>
      </c>
      <c r="D47" t="inlineStr">
        <is>
          <t>STOCKHOLMS LÄN</t>
        </is>
      </c>
      <c r="E47" t="inlineStr">
        <is>
          <t>UPPLANDS-BRO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56756-2021</t>
        </is>
      </c>
      <c r="B48" s="1" t="n">
        <v>44481</v>
      </c>
      <c r="C48" s="1" t="n">
        <v>46061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46061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49622-2021</t>
        </is>
      </c>
      <c r="B50" s="1" t="n">
        <v>44455</v>
      </c>
      <c r="C50" s="1" t="n">
        <v>46061</v>
      </c>
      <c r="D50" t="inlineStr">
        <is>
          <t>STOCKHOLMS LÄN</t>
        </is>
      </c>
      <c r="E50" t="inlineStr">
        <is>
          <t>UPPLANDS-BRO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21560-2021</t>
        </is>
      </c>
      <c r="B51" s="1" t="n">
        <v>44321</v>
      </c>
      <c r="C51" s="1" t="n">
        <v>46061</v>
      </c>
      <c r="D51" t="inlineStr">
        <is>
          <t>STOCKHOLMS LÄN</t>
        </is>
      </c>
      <c r="E51" t="inlineStr">
        <is>
          <t>UPPLANDS-BRO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64110-2023</t>
        </is>
      </c>
      <c r="B52" s="1" t="n">
        <v>45279</v>
      </c>
      <c r="C52" s="1" t="n">
        <v>46061</v>
      </c>
      <c r="D52" t="inlineStr">
        <is>
          <t>STOCKHOLMS LÄN</t>
        </is>
      </c>
      <c r="E52" t="inlineStr">
        <is>
          <t>UPPLANDS-BRO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23098-2024</t>
        </is>
      </c>
      <c r="B53" s="1" t="n">
        <v>45450</v>
      </c>
      <c r="C53" s="1" t="n">
        <v>46061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59377-2024</t>
        </is>
      </c>
      <c r="B54" s="1" t="n">
        <v>45638.35164351852</v>
      </c>
      <c r="C54" s="1" t="n">
        <v>46061</v>
      </c>
      <c r="D54" t="inlineStr">
        <is>
          <t>STOCKHOLMS LÄN</t>
        </is>
      </c>
      <c r="E54" t="inlineStr">
        <is>
          <t>UPPLANDS-BRO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46061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10912-2025</t>
        </is>
      </c>
      <c r="B56" s="1" t="n">
        <v>45722</v>
      </c>
      <c r="C56" s="1" t="n">
        <v>46061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46061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46061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46061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3596-2026</t>
        </is>
      </c>
      <c r="B60" s="1" t="n">
        <v>46042</v>
      </c>
      <c r="C60" s="1" t="n">
        <v>46061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46061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2046-2026</t>
        </is>
      </c>
      <c r="B62" s="1" t="n">
        <v>46031</v>
      </c>
      <c r="C62" s="1" t="n">
        <v>46061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3754-2026</t>
        </is>
      </c>
      <c r="B63" s="1" t="n">
        <v>46043</v>
      </c>
      <c r="C63" s="1" t="n">
        <v>46061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51587-2023</t>
        </is>
      </c>
      <c r="B64" s="1" t="n">
        <v>45215</v>
      </c>
      <c r="C64" s="1" t="n">
        <v>46061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72524-2021</t>
        </is>
      </c>
      <c r="B65" s="1" t="n">
        <v>44546</v>
      </c>
      <c r="C65" s="1" t="n">
        <v>46061</v>
      </c>
      <c r="D65" t="inlineStr">
        <is>
          <t>STOCKHOLMS LÄN</t>
        </is>
      </c>
      <c r="E65" t="inlineStr">
        <is>
          <t>UPPLANDS-BRO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46061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59848-2022</t>
        </is>
      </c>
      <c r="B67" s="1" t="n">
        <v>44901</v>
      </c>
      <c r="C67" s="1" t="n">
        <v>46061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46061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27805-2021</t>
        </is>
      </c>
      <c r="B69" s="1" t="n">
        <v>44354</v>
      </c>
      <c r="C69" s="1" t="n">
        <v>46061</v>
      </c>
      <c r="D69" t="inlineStr">
        <is>
          <t>STOCKHOLMS LÄN</t>
        </is>
      </c>
      <c r="E69" t="inlineStr">
        <is>
          <t>UPPLANDS-BRO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46061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46061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10910-2025</t>
        </is>
      </c>
      <c r="B72" s="1" t="n">
        <v>45722</v>
      </c>
      <c r="C72" s="1" t="n">
        <v>46061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64107-2023</t>
        </is>
      </c>
      <c r="B73" s="1" t="n">
        <v>45279</v>
      </c>
      <c r="C73" s="1" t="n">
        <v>46061</v>
      </c>
      <c r="D73" t="inlineStr">
        <is>
          <t>STOCKHOLMS LÄN</t>
        </is>
      </c>
      <c r="E73" t="inlineStr">
        <is>
          <t>UPPLANDS-BRO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7112-2025</t>
        </is>
      </c>
      <c r="B74" s="1" t="n">
        <v>45701</v>
      </c>
      <c r="C74" s="1" t="n">
        <v>46061</v>
      </c>
      <c r="D74" t="inlineStr">
        <is>
          <t>STOCKHOLMS LÄN</t>
        </is>
      </c>
      <c r="E74" t="inlineStr">
        <is>
          <t>UPPLANDS-BRO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38902-2024</t>
        </is>
      </c>
      <c r="B75" s="1" t="n">
        <v>45547</v>
      </c>
      <c r="C75" s="1" t="n">
        <v>46061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46061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46061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46061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