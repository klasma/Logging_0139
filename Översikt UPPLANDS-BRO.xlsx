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46324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46324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46324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18772-2026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46324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19.5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Svedjenäva
Fläcknycklar</t>
        </is>
      </c>
      <c r="W5">
        <f>HYPERLINK("https://klasma.github.io/Logging_0139/artfynd/A 18772-2026 artfynd.xlsx", "A 18772-2026")</f>
        <v/>
      </c>
      <c r="X5">
        <f>HYPERLINK("https://klasma.github.io/Logging_0139/kartor/A 18772-2026 karta.png", "A 18772-2026")</f>
        <v/>
      </c>
      <c r="Y5">
        <f>HYPERLINK("https://klasma.github.io/Logging_0139/kartor_geotiff/A 18772-2026 georefererad karta.tif", "A 18772-2026")</f>
        <v/>
      </c>
      <c r="AA5">
        <f>HYPERLINK("https://klasma.github.io/Logging_0139/klagomål/A 18772-2026 FSC-klagomål.docx", "A 18772-2026")</f>
        <v/>
      </c>
      <c r="AB5">
        <f>HYPERLINK("https://klasma.github.io/Logging_0139/klagomålsmail/A 18772-2026 FSC-klagomål mail.docx", "A 18772-2026")</f>
        <v/>
      </c>
      <c r="AC5">
        <f>HYPERLINK("https://klasma.github.io/Logging_0139/tillsyn/A 18772-2026 tillsynsbegäran.docx", "A 18772-2026")</f>
        <v/>
      </c>
      <c r="AD5">
        <f>HYPERLINK("https://klasma.github.io/Logging_0139/tillsynsmail/A 18772-2026 tillsynsbegäran mail.docx", "A 18772-2026")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46324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73773-2021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44552</v>
      </c>
      <c r="E7" s="1" t="n">
        <v>46324</v>
      </c>
      <c r="F7" t="inlineStr">
        <is>
          <t>STOCKHOLMS LÄN</t>
        </is>
      </c>
      <c r="G7" t="inlineStr">
        <is>
          <t>UPPLANDS-BRO</t>
        </is>
      </c>
      <c r="I7" t="n">
        <v>1.9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Kopparödla
Gullviva</t>
        </is>
      </c>
      <c r="W7">
        <f>HYPERLINK("https://klasma.github.io/Logging_0139/artfynd/A 73773-2021 artfynd.xlsx", "A 73773-2021")</f>
        <v/>
      </c>
      <c r="X7">
        <f>HYPERLINK("https://klasma.github.io/Logging_0139/kartor/A 73773-2021 karta.png", "A 73773-2021")</f>
        <v/>
      </c>
      <c r="Y7">
        <f>HYPERLINK("https://klasma.github.io/Logging_0139/kartor_geotiff/A 73773-2021 georefererad karta.tif", "A 73773-2021")</f>
        <v/>
      </c>
      <c r="AA7">
        <f>HYPERLINK("https://klasma.github.io/Logging_0139/klagomål/A 73773-2021 FSC-klagomål.docx", "A 73773-2021")</f>
        <v/>
      </c>
      <c r="AB7">
        <f>HYPERLINK("https://klasma.github.io/Logging_0139/klagomålsmail/A 73773-2021 FSC-klagomål mail.docx", "A 73773-2021")</f>
        <v/>
      </c>
      <c r="AC7">
        <f>HYPERLINK("https://klasma.github.io/Logging_0139/tillsyn/A 73773-2021 tillsynsbegäran.docx", "A 73773-2021")</f>
        <v/>
      </c>
      <c r="AD7">
        <f>HYPERLINK("https://klasma.github.io/Logging_0139/tillsynsmail/A 73773-2021 tillsynsbegäran mail.docx", "A 73773-2021")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46324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46324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46324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46324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11447-2025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45726</v>
      </c>
      <c r="E12" s="1" t="n">
        <v>46324</v>
      </c>
      <c r="F12" t="inlineStr">
        <is>
          <t>STOCKHOLMS LÄN</t>
        </is>
      </c>
      <c r="G12" t="inlineStr">
        <is>
          <t>UPPLANDS-BRO</t>
        </is>
      </c>
      <c r="I12" t="n">
        <v>1.5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Myskbock</t>
        </is>
      </c>
      <c r="W12">
        <f>HYPERLINK("https://klasma.github.io/Logging_0139/artfynd/A 11447-2025 artfynd.xlsx", "A 11447-2025")</f>
        <v/>
      </c>
      <c r="X12">
        <f>HYPERLINK("https://klasma.github.io/Logging_0139/kartor/A 11447-2025 karta.png", "A 11447-2025")</f>
        <v/>
      </c>
      <c r="Y12">
        <f>HYPERLINK("https://klasma.github.io/Logging_0139/kartor_geotiff/A 11447-2025 georefererad karta.tif", "A 11447-2025")</f>
        <v/>
      </c>
      <c r="AA12">
        <f>HYPERLINK("https://klasma.github.io/Logging_0139/klagomål/A 11447-2025 FSC-klagomål.docx", "A 11447-2025")</f>
        <v/>
      </c>
      <c r="AB12">
        <f>HYPERLINK("https://klasma.github.io/Logging_0139/klagomålsmail/A 11447-2025 FSC-klagomål mail.docx", "A 11447-2025")</f>
        <v/>
      </c>
      <c r="AC12">
        <f>HYPERLINK("https://klasma.github.io/Logging_0139/tillsyn/A 11447-2025 tillsynsbegäran.docx", "A 11447-2025")</f>
        <v/>
      </c>
      <c r="AD12">
        <f>HYPERLINK("https://klasma.github.io/Logging_0139/tillsynsmail/A 11447-2025 tillsynsbegäran mail.docx", "A 11447-2025")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46324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7955-2023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44973</v>
      </c>
      <c r="E14" s="1" t="n">
        <v>46324</v>
      </c>
      <c r="F14" t="inlineStr">
        <is>
          <t>STOCKHOLMS LÄN</t>
        </is>
      </c>
      <c r="G14" t="inlineStr">
        <is>
          <t>UPPLANDS-BRO</t>
        </is>
      </c>
      <c r="I14" t="n">
        <v>2.9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Bombmurkla</t>
        </is>
      </c>
      <c r="W14">
        <f>HYPERLINK("https://klasma.github.io/Logging_0139/artfynd/A 7955-2023 artfynd.xlsx", "A 7955-2023")</f>
        <v/>
      </c>
      <c r="X14">
        <f>HYPERLINK("https://klasma.github.io/Logging_0139/kartor/A 7955-2023 karta.png", "A 7955-2023")</f>
        <v/>
      </c>
      <c r="Y14">
        <f>HYPERLINK("https://klasma.github.io/Logging_0139/kartor_geotiff/A 7955-2023 georefererad karta.tif", "A 7955-2023")</f>
        <v/>
      </c>
      <c r="AA14">
        <f>HYPERLINK("https://klasma.github.io/Logging_0139/klagomål/A 7955-2023 FSC-klagomål.docx", "A 7955-2023")</f>
        <v/>
      </c>
      <c r="AB14">
        <f>HYPERLINK("https://klasma.github.io/Logging_0139/klagomålsmail/A 7955-2023 FSC-klagomål mail.docx", "A 7955-2023")</f>
        <v/>
      </c>
      <c r="AC14">
        <f>HYPERLINK("https://klasma.github.io/Logging_0139/tillsyn/A 7955-2023 tillsynsbegäran.docx", "A 7955-2023")</f>
        <v/>
      </c>
      <c r="AD14">
        <f>HYPERLINK("https://klasma.github.io/Logging_0139/tillsynsmail/A 7955-2023 tillsynsbegäran mail.docx", "A 7955-2023")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46324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26196-2026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46182</v>
      </c>
      <c r="E16" s="1" t="n">
        <v>46324</v>
      </c>
      <c r="F16" t="inlineStr">
        <is>
          <t>STOCKHOLMS LÄN</t>
        </is>
      </c>
      <c r="G16" t="inlineStr">
        <is>
          <t>UPPLANDS-BRO</t>
        </is>
      </c>
      <c r="I16" t="n">
        <v>53.1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Liljekonvalj</t>
        </is>
      </c>
      <c r="W16">
        <f>HYPERLINK("https://klasma.github.io/Logging_0139/artfynd/A 26196-2026 artfynd.xlsx", "A 26196-2026")</f>
        <v/>
      </c>
      <c r="X16">
        <f>HYPERLINK("https://klasma.github.io/Logging_0139/kartor/A 26196-2026 karta.png", "A 26196-2026")</f>
        <v/>
      </c>
      <c r="Y16">
        <f>HYPERLINK("https://klasma.github.io/Logging_0139/kartor_geotiff/A 26196-2026 georefererad karta.tif", "A 26196-2026")</f>
        <v/>
      </c>
      <c r="AA16">
        <f>HYPERLINK("https://klasma.github.io/Logging_0139/klagomål/A 26196-2026 FSC-klagomål.docx", "A 26196-2026")</f>
        <v/>
      </c>
      <c r="AB16">
        <f>HYPERLINK("https://klasma.github.io/Logging_0139/klagomålsmail/A 26196-2026 FSC-klagomål mail.docx", "A 26196-2026")</f>
        <v/>
      </c>
      <c r="AC16">
        <f>HYPERLINK("https://klasma.github.io/Logging_0139/tillsyn/A 26196-2026 tillsynsbegäran.docx", "A 26196-2026")</f>
        <v/>
      </c>
      <c r="AD16">
        <f>HYPERLINK("https://klasma.github.io/Logging_0139/tillsynsmail/A 26196-2026 tillsynsbegäran mail.docx", "A 26196-2026")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46324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2062-2025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46324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Mindre hackspett</t>
        </is>
      </c>
      <c r="W18">
        <f>HYPERLINK("https://klasma.github.io/Logging_0139/artfynd/A 2062-2025 artfynd.xlsx", "A 2062-2025")</f>
        <v/>
      </c>
      <c r="X18">
        <f>HYPERLINK("https://klasma.github.io/Logging_0139/kartor/A 2062-2025 karta.png", "A 2062-2025")</f>
        <v/>
      </c>
      <c r="Y18">
        <f>HYPERLINK("https://klasma.github.io/Logging_0139/kartor_geotiff/A 2062-2025 georefererad karta.tif", "A 2062-2025")</f>
        <v/>
      </c>
      <c r="AA18">
        <f>HYPERLINK("https://klasma.github.io/Logging_0139/klagomål/A 2062-2025 FSC-klagomål.docx", "A 2062-2025")</f>
        <v/>
      </c>
      <c r="AB18">
        <f>HYPERLINK("https://klasma.github.io/Logging_0139/klagomålsmail/A 2062-2025 FSC-klagomål mail.docx", "A 2062-2025")</f>
        <v/>
      </c>
      <c r="AC18">
        <f>HYPERLINK("https://klasma.github.io/Logging_0139/tillsyn/A 2062-2025 tillsynsbegäran.docx", "A 2062-2025")</f>
        <v/>
      </c>
      <c r="AD18">
        <f>HYPERLINK("https://klasma.github.io/Logging_0139/tillsynsmail/A 2062-2025 tillsynsbegäran mail.docx", "A 2062-2025")</f>
        <v/>
      </c>
      <c r="AE18">
        <f>HYPERLINK("https://klasma.github.io/Logging_0139/fåglar/A 2062-2025 prioriterade fågelarter.docx", "A 2062-2025")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46324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46324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23099-2024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45450</v>
      </c>
      <c r="E21" s="1" t="n">
        <v>46324</v>
      </c>
      <c r="F21" t="inlineStr">
        <is>
          <t>STOCKHOLMS LÄN</t>
        </is>
      </c>
      <c r="G21" t="inlineStr">
        <is>
          <t>UPPLANDS-BRO</t>
        </is>
      </c>
      <c r="H21" t="inlineStr">
        <is>
          <t>Övriga statliga verk och myndigheter</t>
        </is>
      </c>
      <c r="I21" t="n">
        <v>0.7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Bredbrämad bastardsvärmare</t>
        </is>
      </c>
      <c r="W21">
        <f>HYPERLINK("https://klasma.github.io/Logging_0139/artfynd/A 23099-2024 artfynd.xlsx", "A 23099-2024")</f>
        <v/>
      </c>
      <c r="X21">
        <f>HYPERLINK("https://klasma.github.io/Logging_0139/kartor/A 23099-2024 karta.png", "A 23099-2024")</f>
        <v/>
      </c>
      <c r="Y21">
        <f>HYPERLINK("https://klasma.github.io/Logging_0139/kartor_geotiff/A 23099-2024 georefererad karta.tif", "A 23099-2024")</f>
        <v/>
      </c>
      <c r="AA21">
        <f>HYPERLINK("https://klasma.github.io/Logging_0139/klagomål/A 23099-2024 FSC-klagomål.docx", "A 23099-2024")</f>
        <v/>
      </c>
      <c r="AB21">
        <f>HYPERLINK("https://klasma.github.io/Logging_0139/klagomålsmail/A 23099-2024 FSC-klagomål mail.docx", "A 23099-2024")</f>
        <v/>
      </c>
      <c r="AC21">
        <f>HYPERLINK("https://klasma.github.io/Logging_0139/tillsyn/A 23099-2024 tillsynsbegäran.docx", "A 23099-2024")</f>
        <v/>
      </c>
      <c r="AD21">
        <f>HYPERLINK("https://klasma.github.io/Logging_0139/tillsynsmail/A 23099-2024 tillsynsbegäran mail.docx", "A 23099-2024")</f>
        <v/>
      </c>
    </row>
    <row r="22" ht="15" customHeight="1">
      <c r="A22" t="inlineStr">
        <is>
          <t>A 46438-2023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45197</v>
      </c>
      <c r="E22" s="1" t="n">
        <v>46324</v>
      </c>
      <c r="F22" t="inlineStr">
        <is>
          <t>STOCKHOLMS LÄN</t>
        </is>
      </c>
      <c r="G22" t="inlineStr">
        <is>
          <t>UPPLANDS-BRO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HYPERLINK("https://klasma.github.io/Logging_0139/artfynd/A 46438-2023 artfynd.xlsx", "A 46438-2023")</f>
        <v/>
      </c>
      <c r="X22">
        <f>HYPERLINK("https://klasma.github.io/Logging_0139/kartor/A 46438-2023 karta.png", "A 46438-2023")</f>
        <v/>
      </c>
      <c r="Y22">
        <f>HYPERLINK("https://klasma.github.io/Logging_0139/kartor_geotiff/A 46438-2023 georefererad karta.tif", "A 46438-2023")</f>
        <v/>
      </c>
      <c r="AA22">
        <f>HYPERLINK("https://klasma.github.io/Logging_0139/klagomål/A 46438-2023 FSC-klagomål.docx", "A 46438-2023")</f>
        <v/>
      </c>
      <c r="AB22">
        <f>HYPERLINK("https://klasma.github.io/Logging_0139/klagomålsmail/A 46438-2023 FSC-klagomål mail.docx", "A 46438-2023")</f>
        <v/>
      </c>
      <c r="AC22">
        <f>HYPERLINK("https://klasma.github.io/Logging_0139/tillsyn/A 46438-2023 tillsynsbegäran.docx", "A 46438-2023")</f>
        <v/>
      </c>
      <c r="AD22">
        <f>HYPERLINK("https://klasma.github.io/Logging_0139/tillsynsmail/A 46438-2023 tillsynsbegäran mail.docx", "A 46438-2023")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46324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46324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46324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46324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46324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59402-2022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44906</v>
      </c>
      <c r="E28" s="1" t="n">
        <v>46324</v>
      </c>
      <c r="F28" t="inlineStr">
        <is>
          <t>STOCKHOLMS LÄN</t>
        </is>
      </c>
      <c r="G28" t="inlineStr">
        <is>
          <t>UPPLANDS-BRO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46324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23615-2025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45792</v>
      </c>
      <c r="E30" s="1" t="n">
        <v>46324</v>
      </c>
      <c r="F30" t="inlineStr">
        <is>
          <t>STOCKHOLMS LÄN</t>
        </is>
      </c>
      <c r="G30" t="inlineStr">
        <is>
          <t>UPPLANDS-BRO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23627-2025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45792</v>
      </c>
      <c r="E31" s="1" t="n">
        <v>46324</v>
      </c>
      <c r="F31" t="inlineStr">
        <is>
          <t>STOCKHOLMS LÄN</t>
        </is>
      </c>
      <c r="G31" t="inlineStr">
        <is>
          <t>UPPLANDS-BRO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46324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45313</v>
      </c>
      <c r="E33" s="1" t="n">
        <v>46324</v>
      </c>
      <c r="F33" t="inlineStr">
        <is>
          <t>STOCKHOLMS LÄN</t>
        </is>
      </c>
      <c r="G33" t="inlineStr">
        <is>
          <t>UPPLANDS-BRO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44959</v>
      </c>
      <c r="E34" s="1" t="n">
        <v>46324</v>
      </c>
      <c r="F34" t="inlineStr">
        <is>
          <t>STOCKHOLMS LÄN</t>
        </is>
      </c>
      <c r="G34" t="inlineStr">
        <is>
          <t>UPPLANDS-BRO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46324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51587-2023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46324</v>
      </c>
      <c r="F36" t="inlineStr">
        <is>
          <t>STOCKHOLMS LÄN</t>
        </is>
      </c>
      <c r="G36" t="inlineStr">
        <is>
          <t>UPPLANDS-BRO</t>
        </is>
      </c>
      <c r="H36" t="inlineStr">
        <is>
          <t>Allmännings- och besparingsskogar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72524-2021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44546</v>
      </c>
      <c r="E37" s="1" t="n">
        <v>46324</v>
      </c>
      <c r="F37" t="inlineStr">
        <is>
          <t>STOCKHOLMS LÄN</t>
        </is>
      </c>
      <c r="G37" t="inlineStr">
        <is>
          <t>UPPLANDS-BRO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44953</v>
      </c>
      <c r="E38" s="1" t="n">
        <v>46324</v>
      </c>
      <c r="F38" t="inlineStr">
        <is>
          <t>STOCKHOLMS LÄN</t>
        </is>
      </c>
      <c r="G38" t="inlineStr">
        <is>
          <t>UPPLANDS-BRO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46324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46324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46324</v>
      </c>
      <c r="F41" t="inlineStr">
        <is>
          <t>STOCKHOLMS LÄN</t>
        </is>
      </c>
      <c r="G41" t="inlineStr">
        <is>
          <t>UPPLANDS-BRO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31160-2022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44770</v>
      </c>
      <c r="E42" s="1" t="n">
        <v>46324</v>
      </c>
      <c r="F42" t="inlineStr">
        <is>
          <t>STOCKHOLMS LÄN</t>
        </is>
      </c>
      <c r="G42" t="inlineStr">
        <is>
          <t>UPPLANDS-BRO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58598-2025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46324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26633-2026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46324</v>
      </c>
      <c r="F44" t="inlineStr">
        <is>
          <t>STOCKHOLMS LÄN</t>
        </is>
      </c>
      <c r="G44" t="inlineStr">
        <is>
          <t>UPPLANDS-BRO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44950</v>
      </c>
      <c r="E45" s="1" t="n">
        <v>46324</v>
      </c>
      <c r="F45" t="inlineStr">
        <is>
          <t>STOCKHOLMS LÄN</t>
        </is>
      </c>
      <c r="G45" t="inlineStr">
        <is>
          <t>UPPLANDS-BRO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44606</v>
      </c>
      <c r="E46" s="1" t="n">
        <v>46324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46043</v>
      </c>
      <c r="E47" s="1" t="n">
        <v>46324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45450</v>
      </c>
      <c r="E48" s="1" t="n">
        <v>46324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9655-2026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46324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46324</v>
      </c>
      <c r="F50" t="inlineStr">
        <is>
          <t>STOCKHOLMS LÄN</t>
        </is>
      </c>
      <c r="G50" t="inlineStr">
        <is>
          <t>UPPLANDS-BRO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46324</v>
      </c>
      <c r="F51" t="inlineStr">
        <is>
          <t>STOCKHOLMS LÄN</t>
        </is>
      </c>
      <c r="G51" t="inlineStr">
        <is>
          <t>UPPLANDS-BRO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28797-2026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46324</v>
      </c>
      <c r="F52" t="inlineStr">
        <is>
          <t>STOCKHOLMS LÄN</t>
        </is>
      </c>
      <c r="G52" t="inlineStr">
        <is>
          <t>UPPLANDS-BRO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45225</v>
      </c>
      <c r="E53" s="1" t="n">
        <v>46324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8.300000000000001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64107-2023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46324</v>
      </c>
      <c r="F54" t="inlineStr">
        <is>
          <t>STOCKHOLMS LÄN</t>
        </is>
      </c>
      <c r="G54" t="inlineStr">
        <is>
          <t>UPPLANDS-BRO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7860-2024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45348</v>
      </c>
      <c r="E55" s="1" t="n">
        <v>46324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45701</v>
      </c>
      <c r="E56" s="1" t="n">
        <v>46324</v>
      </c>
      <c r="F56" t="inlineStr">
        <is>
          <t>STOCKHOLMS LÄN</t>
        </is>
      </c>
      <c r="G56" t="inlineStr">
        <is>
          <t>UPPLANDS-BRO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46324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46324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46226</v>
      </c>
      <c r="E59" s="1" t="n">
        <v>46324</v>
      </c>
      <c r="F59" t="inlineStr">
        <is>
          <t>STOCKHOLMS LÄN</t>
        </is>
      </c>
      <c r="G59" t="inlineStr">
        <is>
          <t>UPPLANDS-BRO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18813-2026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46324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56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46324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46324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33058-2026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46245</v>
      </c>
      <c r="E63" s="1" t="n">
        <v>46324</v>
      </c>
      <c r="F63" t="inlineStr">
        <is>
          <t>STOCKHOLMS LÄN</t>
        </is>
      </c>
      <c r="G63" t="inlineStr">
        <is>
          <t>UPPLANDS-BRO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45096</v>
      </c>
      <c r="E64" s="1" t="n">
        <v>46324</v>
      </c>
      <c r="F64" t="inlineStr">
        <is>
          <t>STOCKHOLMS LÄN</t>
        </is>
      </c>
      <c r="G64" t="inlineStr">
        <is>
          <t>UPPLANDS-BRO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46324</v>
      </c>
      <c r="F65" t="inlineStr">
        <is>
          <t>STOCKHOLMS LÄN</t>
        </is>
      </c>
      <c r="G65" t="inlineStr">
        <is>
          <t>UPPLANDS-BRO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46324</v>
      </c>
      <c r="F66" t="inlineStr">
        <is>
          <t>STOCKHOLMS LÄN</t>
        </is>
      </c>
      <c r="G66" t="inlineStr">
        <is>
          <t>UPPLANDS-BRO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46324</v>
      </c>
      <c r="F67" t="inlineStr">
        <is>
          <t>STOCKHOLMS LÄN</t>
        </is>
      </c>
      <c r="G67" t="inlineStr">
        <is>
          <t>UPPLANDS-BRO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46324</v>
      </c>
      <c r="F68" t="inlineStr">
        <is>
          <t>STOCKHOLMS LÄN</t>
        </is>
      </c>
      <c r="G68" t="inlineStr">
        <is>
          <t>UPPLANDS-BRO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23098-2024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45450</v>
      </c>
      <c r="E69" s="1" t="n">
        <v>46324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46324</v>
      </c>
      <c r="F70" t="inlineStr">
        <is>
          <t>STOCKHOLMS LÄN</t>
        </is>
      </c>
      <c r="G70" t="inlineStr">
        <is>
          <t>UPPLANDS-BRO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10447-2021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44558</v>
      </c>
      <c r="E71" s="1" t="n">
        <v>46324</v>
      </c>
      <c r="F71" t="inlineStr">
        <is>
          <t>STOCKHOLMS LÄN</t>
        </is>
      </c>
      <c r="G71" t="inlineStr">
        <is>
          <t>UPPLANDS-BRO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2026-10-29T03:15:34Z</dcterms:created>
  <dcterms:modified xmlns:dcterms="http://purl.org/dc/terms/" xmlns:xsi="http://www.w3.org/2001/XMLSchema-instance" xsi:type="dcterms:W3CDTF">2026-10-29T03:15:34Z</dcterms:modified>
</cp:coreProperties>
</file>