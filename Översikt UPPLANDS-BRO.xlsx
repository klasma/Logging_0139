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46296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46296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46296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46296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46296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46296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46296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46296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46296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46296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45726</v>
      </c>
      <c r="E12" s="1" t="n">
        <v>46296</v>
      </c>
      <c r="F12" t="inlineStr">
        <is>
          <t>STOCKHOLMS LÄN</t>
        </is>
      </c>
      <c r="G12" t="inlineStr">
        <is>
          <t>UPPLANDS-BRO</t>
        </is>
      </c>
      <c r="I12" t="n">
        <v>1.5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Myskbock</t>
        </is>
      </c>
      <c r="W12">
        <f>HYPERLINK("https://klasma.github.io/Logging_0139/artfynd/A 11447-2025 artfynd.xlsx", "A 11447-2025")</f>
        <v/>
      </c>
      <c r="X12">
        <f>HYPERLINK("https://klasma.github.io/Logging_0139/kartor/A 11447-2025 karta.png", "A 11447-2025")</f>
        <v/>
      </c>
      <c r="Y12">
        <f>HYPERLINK("https://klasma.github.io/Logging_0139/kartor_geotiff/A 11447-2025 georefererad karta.tif", "A 11447-2025")</f>
        <v/>
      </c>
      <c r="AA12">
        <f>HYPERLINK("https://klasma.github.io/Logging_0139/klagomål/A 11447-2025 FSC-klagomål.docx", "A 11447-2025")</f>
        <v/>
      </c>
      <c r="AB12">
        <f>HYPERLINK("https://klasma.github.io/Logging_0139/klagomålsmail/A 11447-2025 FSC-klagomål mail.docx", "A 11447-2025")</f>
        <v/>
      </c>
      <c r="AC12">
        <f>HYPERLINK("https://klasma.github.io/Logging_0139/tillsyn/A 11447-2025 tillsynsbegäran.docx", "A 11447-2025")</f>
        <v/>
      </c>
      <c r="AD12">
        <f>HYPERLINK("https://klasma.github.io/Logging_0139/tillsynsmail/A 11447-2025 tillsynsbegäran mail.docx", "A 11447-2025")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46296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45279</v>
      </c>
      <c r="E14" s="1" t="n">
        <v>46296</v>
      </c>
      <c r="F14" t="inlineStr">
        <is>
          <t>STOCKHOLMS LÄN</t>
        </is>
      </c>
      <c r="G14" t="inlineStr">
        <is>
          <t>UPPLANDS-BRO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Skogsalmsdvärgmal</t>
        </is>
      </c>
      <c r="W14">
        <f>HYPERLINK("https://klasma.github.io/Logging_0139/artfynd/A 64098-2023 artfynd.xlsx", "A 64098-2023")</f>
        <v/>
      </c>
      <c r="X14">
        <f>HYPERLINK("https://klasma.github.io/Logging_0139/kartor/A 64098-2023 karta.png", "A 64098-2023")</f>
        <v/>
      </c>
      <c r="Y14">
        <f>HYPERLINK("https://klasma.github.io/Logging_0139/kartor_geotiff/A 64098-2023 georefererad karta.tif", "A 64098-2023")</f>
        <v/>
      </c>
      <c r="AA14">
        <f>HYPERLINK("https://klasma.github.io/Logging_0139/klagomål/A 64098-2023 FSC-klagomål.docx", "A 64098-2023")</f>
        <v/>
      </c>
      <c r="AB14">
        <f>HYPERLINK("https://klasma.github.io/Logging_0139/klagomålsmail/A 64098-2023 FSC-klagomål mail.docx", "A 64098-2023")</f>
        <v/>
      </c>
      <c r="AC14">
        <f>HYPERLINK("https://klasma.github.io/Logging_0139/tillsyn/A 64098-2023 tillsynsbegäran.docx", "A 64098-2023")</f>
        <v/>
      </c>
      <c r="AD14">
        <f>HYPERLINK("https://klasma.github.io/Logging_0139/tillsynsmail/A 64098-2023 tillsynsbegäran mail.docx", "A 64098-2023")</f>
        <v/>
      </c>
    </row>
    <row r="15" ht="15" customHeight="1">
      <c r="A15" t="inlineStr">
        <is>
          <t>A 2062-2025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46296</v>
      </c>
      <c r="F15" t="inlineStr">
        <is>
          <t>STOCKHOLMS LÄN</t>
        </is>
      </c>
      <c r="G15" t="inlineStr">
        <is>
          <t>UPPLANDS-BRO</t>
        </is>
      </c>
      <c r="I15" t="n">
        <v>1.9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Mindre hackspett</t>
        </is>
      </c>
      <c r="W15">
        <f>HYPERLINK("https://klasma.github.io/Logging_0139/artfynd/A 2062-2025 artfynd.xlsx", "A 2062-2025")</f>
        <v/>
      </c>
      <c r="X15">
        <f>HYPERLINK("https://klasma.github.io/Logging_0139/kartor/A 2062-2025 karta.png", "A 2062-2025")</f>
        <v/>
      </c>
      <c r="Y15">
        <f>HYPERLINK("https://klasma.github.io/Logging_0139/kartor_geotiff/A 2062-2025 georefererad karta.tif", "A 2062-2025")</f>
        <v/>
      </c>
      <c r="AA15">
        <f>HYPERLINK("https://klasma.github.io/Logging_0139/klagomål/A 2062-2025 FSC-klagomål.docx", "A 2062-2025")</f>
        <v/>
      </c>
      <c r="AB15">
        <f>HYPERLINK("https://klasma.github.io/Logging_0139/klagomålsmail/A 2062-2025 FSC-klagomål mail.docx", "A 2062-2025")</f>
        <v/>
      </c>
      <c r="AC15">
        <f>HYPERLINK("https://klasma.github.io/Logging_0139/tillsyn/A 2062-2025 tillsynsbegäran.docx", "A 2062-2025")</f>
        <v/>
      </c>
      <c r="AD15">
        <f>HYPERLINK("https://klasma.github.io/Logging_0139/tillsynsmail/A 2062-2025 tillsynsbegäran mail.docx", "A 2062-2025")</f>
        <v/>
      </c>
      <c r="AE15">
        <f>HYPERLINK("https://klasma.github.io/Logging_0139/fåglar/A 2062-2025 prioriterade fågelarter.docx", "A 2062-2025")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46296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25561-2025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45803</v>
      </c>
      <c r="E17" s="1" t="n">
        <v>46296</v>
      </c>
      <c r="F17" t="inlineStr">
        <is>
          <t>STOCKHOLMS LÄN</t>
        </is>
      </c>
      <c r="G17" t="inlineStr">
        <is>
          <t>UPPLANDS-BRO</t>
        </is>
      </c>
      <c r="I17" t="n">
        <v>1.6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25561-2025 artfynd.xlsx", "A 25561-2025")</f>
        <v/>
      </c>
      <c r="X17">
        <f>HYPERLINK("https://klasma.github.io/Logging_0139/kartor/A 25561-2025 karta.png", "A 25561-2025")</f>
        <v/>
      </c>
      <c r="Y17">
        <f>HYPERLINK("https://klasma.github.io/Logging_0139/kartor_geotiff/A 25561-2025 georefererad karta.tif", "A 25561-2025")</f>
        <v/>
      </c>
      <c r="AA17">
        <f>HYPERLINK("https://klasma.github.io/Logging_0139/klagomål/A 25561-2025 FSC-klagomål.docx", "A 25561-2025")</f>
        <v/>
      </c>
      <c r="AB17">
        <f>HYPERLINK("https://klasma.github.io/Logging_0139/klagomålsmail/A 25561-2025 FSC-klagomål mail.docx", "A 25561-2025")</f>
        <v/>
      </c>
      <c r="AC17">
        <f>HYPERLINK("https://klasma.github.io/Logging_0139/tillsyn/A 25561-2025 tillsynsbegäran.docx", "A 25561-2025")</f>
        <v/>
      </c>
      <c r="AD17">
        <f>HYPERLINK("https://klasma.github.io/Logging_0139/tillsynsmail/A 25561-2025 tillsynsbegäran mail.docx", "A 25561-2025")</f>
        <v/>
      </c>
    </row>
    <row r="18" ht="15" customHeight="1">
      <c r="A18" t="inlineStr">
        <is>
          <t>A 46438-2023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46296</v>
      </c>
      <c r="F18" t="inlineStr">
        <is>
          <t>STOCKHOLMS LÄN</t>
        </is>
      </c>
      <c r="G18" t="inlineStr">
        <is>
          <t>UPPLANDS-BRO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Bombmurkla</t>
        </is>
      </c>
      <c r="W18">
        <f>HYPERLINK("https://klasma.github.io/Logging_0139/artfynd/A 46438-2023 artfynd.xlsx", "A 46438-2023")</f>
        <v/>
      </c>
      <c r="X18">
        <f>HYPERLINK("https://klasma.github.io/Logging_0139/kartor/A 46438-2023 karta.png", "A 46438-2023")</f>
        <v/>
      </c>
      <c r="Y18">
        <f>HYPERLINK("https://klasma.github.io/Logging_0139/kartor_geotiff/A 46438-2023 georefererad karta.tif", "A 46438-2023")</f>
        <v/>
      </c>
      <c r="AA18">
        <f>HYPERLINK("https://klasma.github.io/Logging_0139/klagomål/A 46438-2023 FSC-klagomål.docx", "A 46438-2023")</f>
        <v/>
      </c>
      <c r="AB18">
        <f>HYPERLINK("https://klasma.github.io/Logging_0139/klagomålsmail/A 46438-2023 FSC-klagomål mail.docx", "A 46438-2023")</f>
        <v/>
      </c>
      <c r="AC18">
        <f>HYPERLINK("https://klasma.github.io/Logging_0139/tillsyn/A 46438-2023 tillsynsbegäran.docx", "A 46438-2023")</f>
        <v/>
      </c>
      <c r="AD18">
        <f>HYPERLINK("https://klasma.github.io/Logging_0139/tillsynsmail/A 46438-2023 tillsynsbegäran mail.docx", "A 46438-2023")</f>
        <v/>
      </c>
    </row>
    <row r="19" ht="15" customHeight="1">
      <c r="A19" t="inlineStr">
        <is>
          <t>A 53357-2025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45959</v>
      </c>
      <c r="E19" s="1" t="n">
        <v>46296</v>
      </c>
      <c r="F19" t="inlineStr">
        <is>
          <t>STOCKHOLMS LÄN</t>
        </is>
      </c>
      <c r="G19" t="inlineStr">
        <is>
          <t>UPPLANDS-BRO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4</v>
      </c>
      <c r="U19" t="n">
        <v>0</v>
      </c>
      <c r="V19" s="2" t="inlineStr">
        <is>
          <t>Bombmurkla</t>
        </is>
      </c>
      <c r="W19">
        <f>HYPERLINK("https://klasma.github.io/Logging_0139/artfynd/A 53357-2025 artfynd.xlsx", "A 53357-2025")</f>
        <v/>
      </c>
      <c r="X19">
        <f>HYPERLINK("https://klasma.github.io/Logging_0139/kartor/A 53357-2025 karta.png", "A 53357-2025")</f>
        <v/>
      </c>
      <c r="Y19">
        <f>HYPERLINK("https://klasma.github.io/Logging_0139/kartor_geotiff/A 53357-2025 georefererad karta.tif", "A 53357-2025")</f>
        <v/>
      </c>
      <c r="AA19">
        <f>HYPERLINK("https://klasma.github.io/Logging_0139/klagomål/A 53357-2025 FSC-klagomål.docx", "A 53357-2025")</f>
        <v/>
      </c>
      <c r="AB19">
        <f>HYPERLINK("https://klasma.github.io/Logging_0139/klagomålsmail/A 53357-2025 FSC-klagomål mail.docx", "A 53357-2025")</f>
        <v/>
      </c>
      <c r="AC19">
        <f>HYPERLINK("https://klasma.github.io/Logging_0139/tillsyn/A 53357-2025 tillsynsbegäran.docx", "A 53357-2025")</f>
        <v/>
      </c>
      <c r="AD19">
        <f>HYPERLINK("https://klasma.github.io/Logging_0139/tillsynsmail/A 53357-2025 tillsynsbegäran mail.docx", "A 53357-2025")</f>
        <v/>
      </c>
    </row>
    <row r="20" ht="15" customHeight="1">
      <c r="A20" t="inlineStr">
        <is>
          <t>A 12363-2025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45730</v>
      </c>
      <c r="E20" s="1" t="n">
        <v>46296</v>
      </c>
      <c r="F20" t="inlineStr">
        <is>
          <t>STOCKHOLMS LÄN</t>
        </is>
      </c>
      <c r="G20" t="inlineStr">
        <is>
          <t>UPPLANDS-BRO</t>
        </is>
      </c>
      <c r="I20" t="n">
        <v>0.8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Nästrot</t>
        </is>
      </c>
      <c r="W20">
        <f>HYPERLINK("https://klasma.github.io/Logging_0139/artfynd/A 12363-2025 artfynd.xlsx", "A 12363-2025")</f>
        <v/>
      </c>
      <c r="X20">
        <f>HYPERLINK("https://klasma.github.io/Logging_0139/kartor/A 12363-2025 karta.png", "A 12363-2025")</f>
        <v/>
      </c>
      <c r="Y20">
        <f>HYPERLINK("https://klasma.github.io/Logging_0139/kartor_geotiff/A 12363-2025 georefererad karta.tif", "A 12363-2025")</f>
        <v/>
      </c>
      <c r="AA20">
        <f>HYPERLINK("https://klasma.github.io/Logging_0139/klagomål/A 12363-2025 FSC-klagomål.docx", "A 12363-2025")</f>
        <v/>
      </c>
      <c r="AB20">
        <f>HYPERLINK("https://klasma.github.io/Logging_0139/klagomålsmail/A 12363-2025 FSC-klagomål mail.docx", "A 12363-2025")</f>
        <v/>
      </c>
      <c r="AC20">
        <f>HYPERLINK("https://klasma.github.io/Logging_0139/tillsyn/A 12363-2025 tillsynsbegäran.docx", "A 12363-2025")</f>
        <v/>
      </c>
      <c r="AD20">
        <f>HYPERLINK("https://klasma.github.io/Logging_0139/tillsynsmail/A 12363-2025 tillsynsbegäran mail.docx", "A 12363-2025")</f>
        <v/>
      </c>
    </row>
    <row r="21" ht="15" customHeight="1">
      <c r="A21" t="inlineStr">
        <is>
          <t>A 26196-2026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46182</v>
      </c>
      <c r="E21" s="1" t="n">
        <v>46296</v>
      </c>
      <c r="F21" t="inlineStr">
        <is>
          <t>STOCKHOLMS LÄN</t>
        </is>
      </c>
      <c r="G21" t="inlineStr">
        <is>
          <t>UPPLANDS-BRO</t>
        </is>
      </c>
      <c r="I21" t="n">
        <v>53.1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Liljekonvalj</t>
        </is>
      </c>
      <c r="W21">
        <f>HYPERLINK("https://klasma.github.io/Logging_0139/artfynd/A 26196-2026 artfynd.xlsx", "A 26196-2026")</f>
        <v/>
      </c>
      <c r="X21">
        <f>HYPERLINK("https://klasma.github.io/Logging_0139/kartor/A 26196-2026 karta.png", "A 26196-2026")</f>
        <v/>
      </c>
      <c r="Y21">
        <f>HYPERLINK("https://klasma.github.io/Logging_0139/kartor_geotiff/A 26196-2026 georefererad karta.tif", "A 26196-2026")</f>
        <v/>
      </c>
      <c r="AA21">
        <f>HYPERLINK("https://klasma.github.io/Logging_0139/klagomål/A 26196-2026 FSC-klagomål.docx", "A 26196-2026")</f>
        <v/>
      </c>
      <c r="AB21">
        <f>HYPERLINK("https://klasma.github.io/Logging_0139/klagomålsmail/A 26196-2026 FSC-klagomål mail.docx", "A 26196-2026")</f>
        <v/>
      </c>
      <c r="AC21">
        <f>HYPERLINK("https://klasma.github.io/Logging_0139/tillsyn/A 26196-2026 tillsynsbegäran.docx", "A 26196-2026")</f>
        <v/>
      </c>
      <c r="AD21">
        <f>HYPERLINK("https://klasma.github.io/Logging_0139/tillsynsmail/A 26196-2026 tillsynsbegäran mail.docx", "A 26196-2026")</f>
        <v/>
      </c>
    </row>
    <row r="22" ht="15" customHeight="1">
      <c r="A22" t="inlineStr">
        <is>
          <t>A 26637-2026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46296</v>
      </c>
      <c r="F22" t="inlineStr">
        <is>
          <t>STOCKHOLMS LÄN</t>
        </is>
      </c>
      <c r="G22" t="inlineStr">
        <is>
          <t>UPPLANDS-BRO</t>
        </is>
      </c>
      <c r="I22" t="n">
        <v>5.4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HYPERLINK("https://klasma.github.io/Logging_0139/artfynd/A 26637-2026 artfynd.xlsx", "A 26637-2026")</f>
        <v/>
      </c>
      <c r="X22">
        <f>HYPERLINK("https://klasma.github.io/Logging_0139/kartor/A 26637-2026 karta.png", "A 26637-2026")</f>
        <v/>
      </c>
      <c r="Y22">
        <f>HYPERLINK("https://klasma.github.io/Logging_0139/kartor_geotiff/A 26637-2026 georefererad karta.tif", "A 26637-2026")</f>
        <v/>
      </c>
      <c r="AA22">
        <f>HYPERLINK("https://klasma.github.io/Logging_0139/klagomål/A 26637-2026 FSC-klagomål.docx", "A 26637-2026")</f>
        <v/>
      </c>
      <c r="AB22">
        <f>HYPERLINK("https://klasma.github.io/Logging_0139/klagomålsmail/A 26637-2026 FSC-klagomål mail.docx", "A 26637-2026")</f>
        <v/>
      </c>
      <c r="AC22">
        <f>HYPERLINK("https://klasma.github.io/Logging_0139/tillsyn/A 26637-2026 tillsynsbegäran.docx", "A 26637-2026")</f>
        <v/>
      </c>
      <c r="AD22">
        <f>HYPERLINK("https://klasma.github.io/Logging_0139/tillsynsmail/A 26637-2026 tillsynsbegäran mail.docx", "A 26637-2026")</f>
        <v/>
      </c>
    </row>
    <row r="23" ht="15" customHeight="1">
      <c r="A23" t="inlineStr">
        <is>
          <t>A 26623-2026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46296</v>
      </c>
      <c r="F23" t="inlineStr">
        <is>
          <t>STOCKHOLMS LÄN</t>
        </is>
      </c>
      <c r="G23" t="inlineStr">
        <is>
          <t>UPPLANDS-BRO</t>
        </is>
      </c>
      <c r="I23" t="n">
        <v>4.6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Svartöra</t>
        </is>
      </c>
      <c r="W23">
        <f>HYPERLINK("https://klasma.github.io/Logging_0139/artfynd/A 26623-2026 artfynd.xlsx", "A 26623-2026")</f>
        <v/>
      </c>
      <c r="X23">
        <f>HYPERLINK("https://klasma.github.io/Logging_0139/kartor/A 26623-2026 karta.png", "A 26623-2026")</f>
        <v/>
      </c>
      <c r="Y23">
        <f>HYPERLINK("https://klasma.github.io/Logging_0139/kartor_geotiff/A 26623-2026 georefererad karta.tif", "A 26623-2026")</f>
        <v/>
      </c>
      <c r="AA23">
        <f>HYPERLINK("https://klasma.github.io/Logging_0139/klagomål/A 26623-2026 FSC-klagomål.docx", "A 26623-2026")</f>
        <v/>
      </c>
      <c r="AB23">
        <f>HYPERLINK("https://klasma.github.io/Logging_0139/klagomålsmail/A 26623-2026 FSC-klagomål mail.docx", "A 26623-2026")</f>
        <v/>
      </c>
      <c r="AC23">
        <f>HYPERLINK("https://klasma.github.io/Logging_0139/tillsyn/A 26623-2026 tillsynsbegäran.docx", "A 26623-2026")</f>
        <v/>
      </c>
      <c r="AD23">
        <f>HYPERLINK("https://klasma.github.io/Logging_0139/tillsynsmail/A 26623-2026 tillsynsbegäran mail.docx", "A 26623-2026")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46296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46296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46296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46296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46296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46296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46296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46296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44959</v>
      </c>
      <c r="E32" s="1" t="n">
        <v>46296</v>
      </c>
      <c r="F32" t="inlineStr">
        <is>
          <t>STOCKHOLMS LÄN</t>
        </is>
      </c>
      <c r="G32" t="inlineStr">
        <is>
          <t>UPPLANDS-BRO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27313-2023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46296</v>
      </c>
      <c r="F33" t="inlineStr">
        <is>
          <t>STOCKHOLMS LÄN</t>
        </is>
      </c>
      <c r="G33" t="inlineStr">
        <is>
          <t>UPPLANDS-BRO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64114-2023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45279</v>
      </c>
      <c r="E34" s="1" t="n">
        <v>46296</v>
      </c>
      <c r="F34" t="inlineStr">
        <is>
          <t>STOCKHOLMS LÄN</t>
        </is>
      </c>
      <c r="G34" t="inlineStr">
        <is>
          <t>UPPLANDS-BRO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46296</v>
      </c>
      <c r="F35" t="inlineStr">
        <is>
          <t>STOCKHOLMS LÄN</t>
        </is>
      </c>
      <c r="G35" t="inlineStr">
        <is>
          <t>UPPLANDS-BRO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45313</v>
      </c>
      <c r="E36" s="1" t="n">
        <v>46296</v>
      </c>
      <c r="F36" t="inlineStr">
        <is>
          <t>STOCKHOLMS LÄN</t>
        </is>
      </c>
      <c r="G36" t="inlineStr">
        <is>
          <t>UPPLANDS-BRO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51587-2023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46296</v>
      </c>
      <c r="F37" t="inlineStr">
        <is>
          <t>STOCKHOLMS LÄN</t>
        </is>
      </c>
      <c r="G37" t="inlineStr">
        <is>
          <t>UPPLANDS-BRO</t>
        </is>
      </c>
      <c r="H37" t="inlineStr">
        <is>
          <t>Allmännings- och besparingsskogar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44606</v>
      </c>
      <c r="E38" s="1" t="n">
        <v>46296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9.6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46296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58011-2021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44487</v>
      </c>
      <c r="E40" s="1" t="n">
        <v>46296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72524-2021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46296</v>
      </c>
      <c r="F41" t="inlineStr">
        <is>
          <t>STOCKHOLMS LÄN</t>
        </is>
      </c>
      <c r="G41" t="inlineStr">
        <is>
          <t>UPPLANDS-BRO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44953</v>
      </c>
      <c r="E42" s="1" t="n">
        <v>46296</v>
      </c>
      <c r="F42" t="inlineStr">
        <is>
          <t>STOCKHOLMS LÄN</t>
        </is>
      </c>
      <c r="G42" t="inlineStr">
        <is>
          <t>UPPLANDS-BRO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46296</v>
      </c>
      <c r="F43" t="inlineStr">
        <is>
          <t>STOCKHOLMS LÄN</t>
        </is>
      </c>
      <c r="G43" t="inlineStr">
        <is>
          <t>UPPLANDS-BRO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46296</v>
      </c>
      <c r="F44" t="inlineStr">
        <is>
          <t>STOCKHOLMS LÄN</t>
        </is>
      </c>
      <c r="G44" t="inlineStr">
        <is>
          <t>UPPLANDS-BRO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44901</v>
      </c>
      <c r="E45" s="1" t="n">
        <v>46296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10.7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38902-2024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45547</v>
      </c>
      <c r="E46" s="1" t="n">
        <v>46296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59700-2021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46296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23615-2025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45792</v>
      </c>
      <c r="E48" s="1" t="n">
        <v>46296</v>
      </c>
      <c r="F48" t="inlineStr">
        <is>
          <t>STOCKHOLMS LÄN</t>
        </is>
      </c>
      <c r="G48" t="inlineStr">
        <is>
          <t>UPPLANDS-BRO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46296</v>
      </c>
      <c r="F49" t="inlineStr">
        <is>
          <t>STOCKHOLMS LÄN</t>
        </is>
      </c>
      <c r="G49" t="inlineStr">
        <is>
          <t>UPPLANDS-BRO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44950</v>
      </c>
      <c r="E50" s="1" t="n">
        <v>46296</v>
      </c>
      <c r="F50" t="inlineStr">
        <is>
          <t>STOCKHOLMS LÄN</t>
        </is>
      </c>
      <c r="G50" t="inlineStr">
        <is>
          <t>UPPLANDS-BRO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45450</v>
      </c>
      <c r="E51" s="1" t="n">
        <v>46296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64110-2023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45279</v>
      </c>
      <c r="E52" s="1" t="n">
        <v>46296</v>
      </c>
      <c r="F52" t="inlineStr">
        <is>
          <t>STOCKHOLMS LÄN</t>
        </is>
      </c>
      <c r="G52" t="inlineStr">
        <is>
          <t>UPPLANDS-BRO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23098-2024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45450</v>
      </c>
      <c r="E53" s="1" t="n">
        <v>46296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46296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46296</v>
      </c>
      <c r="F55" t="inlineStr">
        <is>
          <t>STOCKHOLMS LÄN</t>
        </is>
      </c>
      <c r="G55" t="inlineStr">
        <is>
          <t>UPPLANDS-BRO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7860-2024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45348</v>
      </c>
      <c r="E56" s="1" t="n">
        <v>46296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59402-2022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44906</v>
      </c>
      <c r="E57" s="1" t="n">
        <v>46296</v>
      </c>
      <c r="F57" t="inlineStr">
        <is>
          <t>STOCKHOLMS LÄN</t>
        </is>
      </c>
      <c r="G57" t="inlineStr">
        <is>
          <t>UPPLANDS-BRO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46296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17.2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46296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18813-2026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46296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56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46296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46296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46146</v>
      </c>
      <c r="E63" s="1" t="n">
        <v>46296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46296</v>
      </c>
      <c r="F64" t="inlineStr">
        <is>
          <t>STOCKHOLMS LÄN</t>
        </is>
      </c>
      <c r="G64" t="inlineStr">
        <is>
          <t>UPPLANDS-BRO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31160-2022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44770</v>
      </c>
      <c r="E65" s="1" t="n">
        <v>46296</v>
      </c>
      <c r="F65" t="inlineStr">
        <is>
          <t>STOCKHOLMS LÄN</t>
        </is>
      </c>
      <c r="G65" t="inlineStr">
        <is>
          <t>UPPLANDS-BRO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46296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46296</v>
      </c>
      <c r="F67" t="inlineStr">
        <is>
          <t>STOCKHOLMS LÄN</t>
        </is>
      </c>
      <c r="G67" t="inlineStr">
        <is>
          <t>UPPLANDS-BRO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26625-2026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46184</v>
      </c>
      <c r="E68" s="1" t="n">
        <v>46296</v>
      </c>
      <c r="F68" t="inlineStr">
        <is>
          <t>STOCKHOLMS LÄN</t>
        </is>
      </c>
      <c r="G68" t="inlineStr">
        <is>
          <t>UPPLANDS-BRO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46296</v>
      </c>
      <c r="F69" t="inlineStr">
        <is>
          <t>STOCKHOLMS LÄN</t>
        </is>
      </c>
      <c r="G69" t="inlineStr">
        <is>
          <t>UPPLANDS-BRO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46296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46296</v>
      </c>
      <c r="F71" t="inlineStr">
        <is>
          <t>STOCKHOLMS LÄN</t>
        </is>
      </c>
      <c r="G71" t="inlineStr">
        <is>
          <t>UPPLANDS-BRO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28740-2026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46296</v>
      </c>
      <c r="F72" t="inlineStr">
        <is>
          <t>STOCKHOLMS LÄN</t>
        </is>
      </c>
      <c r="G72" t="inlineStr">
        <is>
          <t>UPPLANDS-BRO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46296</v>
      </c>
      <c r="F73" t="inlineStr">
        <is>
          <t>STOCKHOLMS LÄN</t>
        </is>
      </c>
      <c r="G73" t="inlineStr">
        <is>
          <t>UPPLANDS-BRO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46226</v>
      </c>
      <c r="E74" s="1" t="n">
        <v>46296</v>
      </c>
      <c r="F74" t="inlineStr">
        <is>
          <t>STOCKHOLMS LÄN</t>
        </is>
      </c>
      <c r="G74" t="inlineStr">
        <is>
          <t>UPPLANDS-BRO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33058-2026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46245</v>
      </c>
      <c r="E75" s="1" t="n">
        <v>46296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S 10447-2021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44558</v>
      </c>
      <c r="E76" s="1" t="n">
        <v>46296</v>
      </c>
      <c r="F76" t="inlineStr">
        <is>
          <t>STOCKHOLMS LÄN</t>
        </is>
      </c>
      <c r="G76" t="inlineStr">
        <is>
          <t>UPPLANDS-BRO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2026-10-01T02:01:04Z</dcterms:created>
  <dcterms:modified xmlns:dcterms="http://purl.org/dc/terms/" xmlns:xsi="http://www.w3.org/2001/XMLSchema-instance" xsi:type="dcterms:W3CDTF">2026-10-01T02:01:04Z</dcterms:modified>
</cp:coreProperties>
</file>