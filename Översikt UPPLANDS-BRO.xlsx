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46127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46127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46127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46127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46127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46127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46127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46127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25561-2025</t>
        </is>
      </c>
      <c r="B10" s="1" t="n">
        <v>45803.45496527778</v>
      </c>
      <c r="C10" s="1" t="n">
        <v>46127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25561-2025 artfynd.xlsx", "A 25561-2025")</f>
        <v/>
      </c>
      <c r="T10">
        <f>HYPERLINK("https://klasma.github.io/Logging_0139/kartor/A 25561-2025 karta.png", "A 25561-2025")</f>
        <v/>
      </c>
      <c r="V10">
        <f>HYPERLINK("https://klasma.github.io/Logging_0139/klagomål/A 25561-2025 FSC-klagomål.docx", "A 25561-2025")</f>
        <v/>
      </c>
      <c r="W10">
        <f>HYPERLINK("https://klasma.github.io/Logging_0139/klagomålsmail/A 25561-2025 FSC-klagomål mail.docx", "A 25561-2025")</f>
        <v/>
      </c>
      <c r="X10">
        <f>HYPERLINK("https://klasma.github.io/Logging_0139/tillsyn/A 25561-2025 tillsynsbegäran.docx", "A 25561-2025")</f>
        <v/>
      </c>
      <c r="Y10">
        <f>HYPERLINK("https://klasma.github.io/Logging_0139/tillsynsmail/A 25561-2025 tillsynsbegäran mail.docx", "A 25561-2025")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46127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46127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2409-2026</t>
        </is>
      </c>
      <c r="B13" s="1" t="n">
        <v>46034</v>
      </c>
      <c r="C13" s="1" t="n">
        <v>46127</v>
      </c>
      <c r="D13" t="inlineStr">
        <is>
          <t>STOCKHOLMS LÄN</t>
        </is>
      </c>
      <c r="E13" t="inlineStr">
        <is>
          <t>UPPLANDS-BRO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HYPERLINK("https://klasma.github.io/Logging_0139/artfynd/A 2409-2026 artfynd.xlsx", "A 2409-2026")</f>
        <v/>
      </c>
      <c r="T13">
        <f>HYPERLINK("https://klasma.github.io/Logging_0139/kartor/A 2409-2026 karta.png", "A 2409-2026")</f>
        <v/>
      </c>
      <c r="V13">
        <f>HYPERLINK("https://klasma.github.io/Logging_0139/klagomål/A 2409-2026 FSC-klagomål.docx", "A 2409-2026")</f>
        <v/>
      </c>
      <c r="W13">
        <f>HYPERLINK("https://klasma.github.io/Logging_0139/klagomålsmail/A 2409-2026 FSC-klagomål mail.docx", "A 2409-2026")</f>
        <v/>
      </c>
      <c r="X13">
        <f>HYPERLINK("https://klasma.github.io/Logging_0139/tillsyn/A 2409-2026 tillsynsbegäran.docx", "A 2409-2026")</f>
        <v/>
      </c>
      <c r="Y13">
        <f>HYPERLINK("https://klasma.github.io/Logging_0139/tillsynsmail/A 2409-2026 tillsynsbegäran mail.docx", "A 2409-2026")</f>
        <v/>
      </c>
      <c r="Z13">
        <f>HYPERLINK("https://klasma.github.io/Logging_0139/fåglar/A 2409-2026 prioriterade fågelarter.docx", "A 2409-2026")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46127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46127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46127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46127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46127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46127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46127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46127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46127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46127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46127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46127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46127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46127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46127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46127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46127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46127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46127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46127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46127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2062-2025</t>
        </is>
      </c>
      <c r="B35" s="1" t="n">
        <v>45671</v>
      </c>
      <c r="C35" s="1" t="n">
        <v>46127</v>
      </c>
      <c r="D35" t="inlineStr">
        <is>
          <t>STOCKHOLMS LÄN</t>
        </is>
      </c>
      <c r="E35" t="inlineStr">
        <is>
          <t>UPPLANDS-BRO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46127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23615-2025</t>
        </is>
      </c>
      <c r="B37" s="1" t="n">
        <v>45792.66532407407</v>
      </c>
      <c r="C37" s="1" t="n">
        <v>46127</v>
      </c>
      <c r="D37" t="inlineStr">
        <is>
          <t>STOCKHOLMS LÄN</t>
        </is>
      </c>
      <c r="E37" t="inlineStr">
        <is>
          <t>UPPLANDS-BRO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46127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46127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23093-2024</t>
        </is>
      </c>
      <c r="B40" s="1" t="n">
        <v>45450</v>
      </c>
      <c r="C40" s="1" t="n">
        <v>46127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54222-2023</t>
        </is>
      </c>
      <c r="B41" s="1" t="n">
        <v>45225</v>
      </c>
      <c r="C41" s="1" t="n">
        <v>46127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7860-2024</t>
        </is>
      </c>
      <c r="B42" s="1" t="n">
        <v>45348</v>
      </c>
      <c r="C42" s="1" t="n">
        <v>46127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46127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46127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12378-2025</t>
        </is>
      </c>
      <c r="B45" s="1" t="n">
        <v>45730.38032407407</v>
      </c>
      <c r="C45" s="1" t="n">
        <v>46127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58598-2025</t>
        </is>
      </c>
      <c r="B46" s="1" t="n">
        <v>45986</v>
      </c>
      <c r="C46" s="1" t="n">
        <v>46127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27313-2023</t>
        </is>
      </c>
      <c r="B47" s="1" t="n">
        <v>45096</v>
      </c>
      <c r="C47" s="1" t="n">
        <v>46127</v>
      </c>
      <c r="D47" t="inlineStr">
        <is>
          <t>STOCKHOLMS LÄN</t>
        </is>
      </c>
      <c r="E47" t="inlineStr">
        <is>
          <t>UPPLANDS-BRO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46127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12372-2025</t>
        </is>
      </c>
      <c r="B49" s="1" t="n">
        <v>45730.37740740741</v>
      </c>
      <c r="C49" s="1" t="n">
        <v>46127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50294-2023</t>
        </is>
      </c>
      <c r="B50" s="1" t="n">
        <v>45216</v>
      </c>
      <c r="C50" s="1" t="n">
        <v>46127</v>
      </c>
      <c r="D50" t="inlineStr">
        <is>
          <t>STOCKHOLMS LÄN</t>
        </is>
      </c>
      <c r="E50" t="inlineStr">
        <is>
          <t>UPPLANDS-BRO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56756-2021</t>
        </is>
      </c>
      <c r="B51" s="1" t="n">
        <v>44481</v>
      </c>
      <c r="C51" s="1" t="n">
        <v>46127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46127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49622-2021</t>
        </is>
      </c>
      <c r="B53" s="1" t="n">
        <v>44455</v>
      </c>
      <c r="C53" s="1" t="n">
        <v>46127</v>
      </c>
      <c r="D53" t="inlineStr">
        <is>
          <t>STOCKHOLMS LÄN</t>
        </is>
      </c>
      <c r="E53" t="inlineStr">
        <is>
          <t>UPPLANDS-BRO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3596-2026</t>
        </is>
      </c>
      <c r="B54" s="1" t="n">
        <v>46042</v>
      </c>
      <c r="C54" s="1" t="n">
        <v>46127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21560-2021</t>
        </is>
      </c>
      <c r="B55" s="1" t="n">
        <v>44321</v>
      </c>
      <c r="C55" s="1" t="n">
        <v>46127</v>
      </c>
      <c r="D55" t="inlineStr">
        <is>
          <t>STOCKHOLMS LÄN</t>
        </is>
      </c>
      <c r="E55" t="inlineStr">
        <is>
          <t>UPPLANDS-BRO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2046-2026</t>
        </is>
      </c>
      <c r="B56" s="1" t="n">
        <v>46031</v>
      </c>
      <c r="C56" s="1" t="n">
        <v>46127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46127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23098-2024</t>
        </is>
      </c>
      <c r="B58" s="1" t="n">
        <v>45450</v>
      </c>
      <c r="C58" s="1" t="n">
        <v>46127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59377-2024</t>
        </is>
      </c>
      <c r="B59" s="1" t="n">
        <v>45638.35164351852</v>
      </c>
      <c r="C59" s="1" t="n">
        <v>46127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46438-2023</t>
        </is>
      </c>
      <c r="B60" s="1" t="n">
        <v>45197</v>
      </c>
      <c r="C60" s="1" t="n">
        <v>46127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3754-2026</t>
        </is>
      </c>
      <c r="B61" s="1" t="n">
        <v>46043</v>
      </c>
      <c r="C61" s="1" t="n">
        <v>46127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10912-2025</t>
        </is>
      </c>
      <c r="B62" s="1" t="n">
        <v>45722</v>
      </c>
      <c r="C62" s="1" t="n">
        <v>46127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46127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10935-2025</t>
        </is>
      </c>
      <c r="B64" s="1" t="n">
        <v>45722</v>
      </c>
      <c r="C64" s="1" t="n">
        <v>46127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5264-2023</t>
        </is>
      </c>
      <c r="B65" s="1" t="n">
        <v>44959</v>
      </c>
      <c r="C65" s="1" t="n">
        <v>46127</v>
      </c>
      <c r="D65" t="inlineStr">
        <is>
          <t>STOCKHOLMS LÄN</t>
        </is>
      </c>
      <c r="E65" t="inlineStr">
        <is>
          <t>UPPLANDS-BRO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51587-2023</t>
        </is>
      </c>
      <c r="B66" s="1" t="n">
        <v>45215</v>
      </c>
      <c r="C66" s="1" t="n">
        <v>46127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9265-2026</t>
        </is>
      </c>
      <c r="B67" s="1" t="n">
        <v>46069</v>
      </c>
      <c r="C67" s="1" t="n">
        <v>46127</v>
      </c>
      <c r="D67" t="inlineStr">
        <is>
          <t>STOCKHOLMS LÄN</t>
        </is>
      </c>
      <c r="E67" t="inlineStr">
        <is>
          <t>UPPLANDS-BRO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9655-2026</t>
        </is>
      </c>
      <c r="B68" s="1" t="n">
        <v>46070</v>
      </c>
      <c r="C68" s="1" t="n">
        <v>46127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46127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4338-2023</t>
        </is>
      </c>
      <c r="B70" s="1" t="n">
        <v>44953</v>
      </c>
      <c r="C70" s="1" t="n">
        <v>46127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46127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46127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46127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40514-2021</t>
        </is>
      </c>
      <c r="B74" s="1" t="n">
        <v>44420</v>
      </c>
      <c r="C74" s="1" t="n">
        <v>46127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46127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10910-2025</t>
        </is>
      </c>
      <c r="B76" s="1" t="n">
        <v>45722</v>
      </c>
      <c r="C76" s="1" t="n">
        <v>46127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64107-2023</t>
        </is>
      </c>
      <c r="B77" s="1" t="n">
        <v>45279</v>
      </c>
      <c r="C77" s="1" t="n">
        <v>46127</v>
      </c>
      <c r="D77" t="inlineStr">
        <is>
          <t>STOCKHOLMS LÄN</t>
        </is>
      </c>
      <c r="E77" t="inlineStr">
        <is>
          <t>UPPLANDS-BRO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7112-2025</t>
        </is>
      </c>
      <c r="B78" s="1" t="n">
        <v>45701</v>
      </c>
      <c r="C78" s="1" t="n">
        <v>46127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38902-2024</t>
        </is>
      </c>
      <c r="B79" s="1" t="n">
        <v>45547</v>
      </c>
      <c r="C79" s="1" t="n">
        <v>46127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2026-04-15T14:29:41Z</dcterms:created>
  <dcterms:modified xmlns:dcterms="http://purl.org/dc/terms/" xmlns:xsi="http://www.w3.org/2001/XMLSchema-instance" xsi:type="dcterms:W3CDTF">2026-04-15T14:29:41Z</dcterms:modified>
</cp:coreProperties>
</file>