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45925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45925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9956-2021</t>
        </is>
      </c>
      <c r="B4" s="1" t="n">
        <v>44252</v>
      </c>
      <c r="C4" s="1" t="n">
        <v>45925</v>
      </c>
      <c r="D4" t="inlineStr">
        <is>
          <t>STOCKHOLMS LÄN</t>
        </is>
      </c>
      <c r="E4" t="inlineStr">
        <is>
          <t>UPPLANDS-BRO</t>
        </is>
      </c>
      <c r="F4" t="inlineStr">
        <is>
          <t>Kyrkan</t>
        </is>
      </c>
      <c r="G4" t="n">
        <v>3.4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Dofttaggsvamp
Orange taggsvamp
Svavelriska</t>
        </is>
      </c>
      <c r="S4">
        <f>HYPERLINK("https://klasma.github.io/Logging_0139/artfynd/A 9956-2021 artfynd.xlsx", "A 9956-2021")</f>
        <v/>
      </c>
      <c r="T4">
        <f>HYPERLINK("https://klasma.github.io/Logging_0139/kartor/A 9956-2021 karta.png", "A 9956-2021")</f>
        <v/>
      </c>
      <c r="V4">
        <f>HYPERLINK("https://klasma.github.io/Logging_0139/klagomål/A 9956-2021 FSC-klagomål.docx", "A 9956-2021")</f>
        <v/>
      </c>
      <c r="W4">
        <f>HYPERLINK("https://klasma.github.io/Logging_0139/klagomålsmail/A 9956-2021 FSC-klagomål mail.docx", "A 9956-2021")</f>
        <v/>
      </c>
      <c r="X4">
        <f>HYPERLINK("https://klasma.github.io/Logging_0139/tillsyn/A 9956-2021 tillsynsbegäran.docx", "A 9956-2021")</f>
        <v/>
      </c>
      <c r="Y4">
        <f>HYPERLINK("https://klasma.github.io/Logging_0139/tillsynsmail/A 9956-2021 tillsynsbegäran mail.docx", "A 9956-2021")</f>
        <v/>
      </c>
    </row>
    <row r="5" ht="15" customHeight="1">
      <c r="A5" t="inlineStr">
        <is>
          <t>A 12354-2025</t>
        </is>
      </c>
      <c r="B5" s="1" t="n">
        <v>45730.36476851852</v>
      </c>
      <c r="C5" s="1" t="n">
        <v>45925</v>
      </c>
      <c r="D5" t="inlineStr">
        <is>
          <t>STOCKHOLMS LÄN</t>
        </is>
      </c>
      <c r="E5" t="inlineStr">
        <is>
          <t>UPPLANDS-BRO</t>
        </is>
      </c>
      <c r="G5" t="n">
        <v>6.9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Igelkott
Nästrot
Nattviol</t>
        </is>
      </c>
      <c r="S5">
        <f>HYPERLINK("https://klasma.github.io/Logging_0139/artfynd/A 12354-2025 artfynd.xlsx", "A 12354-2025")</f>
        <v/>
      </c>
      <c r="T5">
        <f>HYPERLINK("https://klasma.github.io/Logging_0139/kartor/A 12354-2025 karta.png", "A 12354-2025")</f>
        <v/>
      </c>
      <c r="V5">
        <f>HYPERLINK("https://klasma.github.io/Logging_0139/klagomål/A 12354-2025 FSC-klagomål.docx", "A 12354-2025")</f>
        <v/>
      </c>
      <c r="W5">
        <f>HYPERLINK("https://klasma.github.io/Logging_0139/klagomålsmail/A 12354-2025 FSC-klagomål mail.docx", "A 12354-2025")</f>
        <v/>
      </c>
      <c r="X5">
        <f>HYPERLINK("https://klasma.github.io/Logging_0139/tillsyn/A 12354-2025 tillsynsbegäran.docx", "A 12354-2025")</f>
        <v/>
      </c>
      <c r="Y5">
        <f>HYPERLINK("https://klasma.github.io/Logging_0139/tillsynsmail/A 12354-2025 tillsynsbegäran mail.docx", "A 12354-2025")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45925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45925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45925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12390-2025</t>
        </is>
      </c>
      <c r="B9" s="1" t="n">
        <v>45730.39577546297</v>
      </c>
      <c r="C9" s="1" t="n">
        <v>45925</v>
      </c>
      <c r="D9" t="inlineStr">
        <is>
          <t>STOCKHOLMS LÄN</t>
        </is>
      </c>
      <c r="E9" t="inlineStr">
        <is>
          <t>UPPLANDS-BRO</t>
        </is>
      </c>
      <c r="G9" t="n">
        <v>1.5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Nattviol</t>
        </is>
      </c>
      <c r="S9">
        <f>HYPERLINK("https://klasma.github.io/Logging_0139/artfynd/A 12390-2025 artfynd.xlsx", "A 12390-2025")</f>
        <v/>
      </c>
      <c r="T9">
        <f>HYPERLINK("https://klasma.github.io/Logging_0139/kartor/A 12390-2025 karta.png", "A 12390-2025")</f>
        <v/>
      </c>
      <c r="V9">
        <f>HYPERLINK("https://klasma.github.io/Logging_0139/klagomål/A 12390-2025 FSC-klagomål.docx", "A 12390-2025")</f>
        <v/>
      </c>
      <c r="W9">
        <f>HYPERLINK("https://klasma.github.io/Logging_0139/klagomålsmail/A 12390-2025 FSC-klagomål mail.docx", "A 12390-2025")</f>
        <v/>
      </c>
      <c r="X9">
        <f>HYPERLINK("https://klasma.github.io/Logging_0139/tillsyn/A 12390-2025 tillsynsbegäran.docx", "A 12390-2025")</f>
        <v/>
      </c>
      <c r="Y9">
        <f>HYPERLINK("https://klasma.github.io/Logging_0139/tillsynsmail/A 12390-2025 tillsynsbegäran mail.docx", "A 12390-2025")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45925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45925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45925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23099-2024</t>
        </is>
      </c>
      <c r="B13" s="1" t="n">
        <v>45450</v>
      </c>
      <c r="C13" s="1" t="n">
        <v>45925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bastardsvärmare</t>
        </is>
      </c>
      <c r="S13">
        <f>HYPERLINK("https://klasma.github.io/Logging_0139/artfynd/A 23099-2024 artfynd.xlsx", "A 23099-2024")</f>
        <v/>
      </c>
      <c r="T13">
        <f>HYPERLINK("https://klasma.github.io/Logging_0139/kartor/A 23099-2024 karta.png", "A 23099-2024")</f>
        <v/>
      </c>
      <c r="V13">
        <f>HYPERLINK("https://klasma.github.io/Logging_0139/klagomål/A 23099-2024 FSC-klagomål.docx", "A 23099-2024")</f>
        <v/>
      </c>
      <c r="W13">
        <f>HYPERLINK("https://klasma.github.io/Logging_0139/klagomålsmail/A 23099-2024 FSC-klagomål mail.docx", "A 23099-2024")</f>
        <v/>
      </c>
      <c r="X13">
        <f>HYPERLINK("https://klasma.github.io/Logging_0139/tillsyn/A 23099-2024 tillsynsbegäran.docx", "A 23099-2024")</f>
        <v/>
      </c>
      <c r="Y13">
        <f>HYPERLINK("https://klasma.github.io/Logging_0139/tillsynsmail/A 23099-2024 tillsynsbegäran mail.docx", "A 23099-2024")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45925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25561-2025</t>
        </is>
      </c>
      <c r="B15" s="1" t="n">
        <v>45803.45496527778</v>
      </c>
      <c r="C15" s="1" t="n">
        <v>45925</v>
      </c>
      <c r="D15" t="inlineStr">
        <is>
          <t>STOCKHOLMS LÄN</t>
        </is>
      </c>
      <c r="E15" t="inlineStr">
        <is>
          <t>UPPLANDS-BRO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25561-2025 artfynd.xlsx", "A 25561-2025")</f>
        <v/>
      </c>
      <c r="T15">
        <f>HYPERLINK("https://klasma.github.io/Logging_0139/kartor/A 25561-2025 karta.png", "A 25561-2025")</f>
        <v/>
      </c>
      <c r="V15">
        <f>HYPERLINK("https://klasma.github.io/Logging_0139/klagomål/A 25561-2025 FSC-klagomål.docx", "A 25561-2025")</f>
        <v/>
      </c>
      <c r="W15">
        <f>HYPERLINK("https://klasma.github.io/Logging_0139/klagomålsmail/A 25561-2025 FSC-klagomål mail.docx", "A 25561-2025")</f>
        <v/>
      </c>
      <c r="X15">
        <f>HYPERLINK("https://klasma.github.io/Logging_0139/tillsyn/A 25561-2025 tillsynsbegäran.docx", "A 25561-2025")</f>
        <v/>
      </c>
      <c r="Y15">
        <f>HYPERLINK("https://klasma.github.io/Logging_0139/tillsynsmail/A 25561-2025 tillsynsbegäran mail.docx", "A 25561-2025")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45925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45925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45925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45925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45925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45925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45925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45925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45925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45925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45925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45925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45925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24308-2021</t>
        </is>
      </c>
      <c r="B29" s="1" t="n">
        <v>44336</v>
      </c>
      <c r="C29" s="1" t="n">
        <v>45925</v>
      </c>
      <c r="D29" t="inlineStr">
        <is>
          <t>STOCKHOLMS LÄN</t>
        </is>
      </c>
      <c r="E29" t="inlineStr">
        <is>
          <t>UPPLANDS-BRO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67286-2020</t>
        </is>
      </c>
      <c r="B30" s="1" t="n">
        <v>44181</v>
      </c>
      <c r="C30" s="1" t="n">
        <v>45925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41463-2021</t>
        </is>
      </c>
      <c r="B31" s="1" t="n">
        <v>44424</v>
      </c>
      <c r="C31" s="1" t="n">
        <v>45925</v>
      </c>
      <c r="D31" t="inlineStr">
        <is>
          <t>STOCKHOLMS LÄN</t>
        </is>
      </c>
      <c r="E31" t="inlineStr">
        <is>
          <t>UPPLANDS-BRO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31160-2022</t>
        </is>
      </c>
      <c r="B32" s="1" t="n">
        <v>44770</v>
      </c>
      <c r="C32" s="1" t="n">
        <v>45925</v>
      </c>
      <c r="D32" t="inlineStr">
        <is>
          <t>STOCKHOLMS LÄN</t>
        </is>
      </c>
      <c r="E32" t="inlineStr">
        <is>
          <t>UPPLANDS-BRO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14719-2022</t>
        </is>
      </c>
      <c r="B33" s="1" t="n">
        <v>44655</v>
      </c>
      <c r="C33" s="1" t="n">
        <v>45925</v>
      </c>
      <c r="D33" t="inlineStr">
        <is>
          <t>STOCKHOLMS LÄN</t>
        </is>
      </c>
      <c r="E33" t="inlineStr">
        <is>
          <t>UPPLANDS-BRO</t>
        </is>
      </c>
      <c r="F33" t="inlineStr">
        <is>
          <t>Allmännings- och besparingsskogar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67275-2020</t>
        </is>
      </c>
      <c r="B34" s="1" t="n">
        <v>44181</v>
      </c>
      <c r="C34" s="1" t="n">
        <v>45925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10910-2025</t>
        </is>
      </c>
      <c r="B35" s="1" t="n">
        <v>45722</v>
      </c>
      <c r="C35" s="1" t="n">
        <v>45925</v>
      </c>
      <c r="D35" t="inlineStr">
        <is>
          <t>STOCKHOLMS LÄN</t>
        </is>
      </c>
      <c r="E35" t="inlineStr">
        <is>
          <t>UPPLANDS-BRO</t>
        </is>
      </c>
      <c r="F35" t="inlineStr">
        <is>
          <t>Allmännings- och besparingsskogar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49686-2020</t>
        </is>
      </c>
      <c r="B36" s="1" t="n">
        <v>44106</v>
      </c>
      <c r="C36" s="1" t="n">
        <v>45925</v>
      </c>
      <c r="D36" t="inlineStr">
        <is>
          <t>STOCKHOLMS LÄN</t>
        </is>
      </c>
      <c r="E36" t="inlineStr">
        <is>
          <t>UPPLANDS-BRO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56756-2021</t>
        </is>
      </c>
      <c r="B37" s="1" t="n">
        <v>44481</v>
      </c>
      <c r="C37" s="1" t="n">
        <v>45925</v>
      </c>
      <c r="D37" t="inlineStr">
        <is>
          <t>STOCKHOLMS LÄN</t>
        </is>
      </c>
      <c r="E37" t="inlineStr">
        <is>
          <t>UPPLANDS-BRO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40514-2021</t>
        </is>
      </c>
      <c r="B38" s="1" t="n">
        <v>44420</v>
      </c>
      <c r="C38" s="1" t="n">
        <v>45925</v>
      </c>
      <c r="D38" t="inlineStr">
        <is>
          <t>STOCKHOLMS LÄN</t>
        </is>
      </c>
      <c r="E38" t="inlineStr">
        <is>
          <t>UPPLANDS-BRO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12372-2025</t>
        </is>
      </c>
      <c r="B39" s="1" t="n">
        <v>45730.37740740741</v>
      </c>
      <c r="C39" s="1" t="n">
        <v>45925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5264-2023</t>
        </is>
      </c>
      <c r="B40" s="1" t="n">
        <v>44959</v>
      </c>
      <c r="C40" s="1" t="n">
        <v>45925</v>
      </c>
      <c r="D40" t="inlineStr">
        <is>
          <t>STOCKHOLMS LÄN</t>
        </is>
      </c>
      <c r="E40" t="inlineStr">
        <is>
          <t>UPPLANDS-BRO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7275-2022</t>
        </is>
      </c>
      <c r="B41" s="1" t="n">
        <v>44606</v>
      </c>
      <c r="C41" s="1" t="n">
        <v>45925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9.6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2602-2024</t>
        </is>
      </c>
      <c r="B42" s="1" t="n">
        <v>45313.73068287037</v>
      </c>
      <c r="C42" s="1" t="n">
        <v>45925</v>
      </c>
      <c r="D42" t="inlineStr">
        <is>
          <t>STOCKHOLMS LÄN</t>
        </is>
      </c>
      <c r="E42" t="inlineStr">
        <is>
          <t>UPPLANDS-BRO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55586-2023</t>
        </is>
      </c>
      <c r="B43" s="1" t="n">
        <v>45232</v>
      </c>
      <c r="C43" s="1" t="n">
        <v>45925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38.9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59700-2021</t>
        </is>
      </c>
      <c r="B44" s="1" t="n">
        <v>44494</v>
      </c>
      <c r="C44" s="1" t="n">
        <v>45925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59402-2022</t>
        </is>
      </c>
      <c r="B45" s="1" t="n">
        <v>44906</v>
      </c>
      <c r="C45" s="1" t="n">
        <v>45925</v>
      </c>
      <c r="D45" t="inlineStr">
        <is>
          <t>STOCKHOLMS LÄN</t>
        </is>
      </c>
      <c r="E45" t="inlineStr">
        <is>
          <t>UPPLANDS-BRO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50698-2020</t>
        </is>
      </c>
      <c r="B46" s="1" t="n">
        <v>44111</v>
      </c>
      <c r="C46" s="1" t="n">
        <v>45925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7110-2025</t>
        </is>
      </c>
      <c r="B47" s="1" t="n">
        <v>45701</v>
      </c>
      <c r="C47" s="1" t="n">
        <v>45925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3630-2023</t>
        </is>
      </c>
      <c r="B48" s="1" t="n">
        <v>44950</v>
      </c>
      <c r="C48" s="1" t="n">
        <v>45925</v>
      </c>
      <c r="D48" t="inlineStr">
        <is>
          <t>STOCKHOLMS LÄN</t>
        </is>
      </c>
      <c r="E48" t="inlineStr">
        <is>
          <t>UPPLANDS-BRO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7860-2024</t>
        </is>
      </c>
      <c r="B49" s="1" t="n">
        <v>45348</v>
      </c>
      <c r="C49" s="1" t="n">
        <v>45925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38902-2024</t>
        </is>
      </c>
      <c r="B50" s="1" t="n">
        <v>45547</v>
      </c>
      <c r="C50" s="1" t="n">
        <v>45925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50294-2023</t>
        </is>
      </c>
      <c r="B51" s="1" t="n">
        <v>45216</v>
      </c>
      <c r="C51" s="1" t="n">
        <v>45925</v>
      </c>
      <c r="D51" t="inlineStr">
        <is>
          <t>STOCKHOLMS LÄN</t>
        </is>
      </c>
      <c r="E51" t="inlineStr">
        <is>
          <t>UPPLANDS-BRO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27805-2021</t>
        </is>
      </c>
      <c r="B52" s="1" t="n">
        <v>44354</v>
      </c>
      <c r="C52" s="1" t="n">
        <v>45925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31370-2021</t>
        </is>
      </c>
      <c r="B53" s="1" t="n">
        <v>44368</v>
      </c>
      <c r="C53" s="1" t="n">
        <v>45925</v>
      </c>
      <c r="D53" t="inlineStr">
        <is>
          <t>STOCKHOLMS LÄN</t>
        </is>
      </c>
      <c r="E53" t="inlineStr">
        <is>
          <t>UPPLANDS-BRO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23098-2024</t>
        </is>
      </c>
      <c r="B54" s="1" t="n">
        <v>45450</v>
      </c>
      <c r="C54" s="1" t="n">
        <v>45925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46438-2023</t>
        </is>
      </c>
      <c r="B55" s="1" t="n">
        <v>45197</v>
      </c>
      <c r="C55" s="1" t="n">
        <v>45925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65954-2020</t>
        </is>
      </c>
      <c r="B56" s="1" t="n">
        <v>44175</v>
      </c>
      <c r="C56" s="1" t="n">
        <v>45925</v>
      </c>
      <c r="D56" t="inlineStr">
        <is>
          <t>STOCKHOLMS LÄN</t>
        </is>
      </c>
      <c r="E56" t="inlineStr">
        <is>
          <t>UPPLANDS-BRO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64105-2023</t>
        </is>
      </c>
      <c r="B57" s="1" t="n">
        <v>45279</v>
      </c>
      <c r="C57" s="1" t="n">
        <v>45925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55541-2020</t>
        </is>
      </c>
      <c r="B58" s="1" t="n">
        <v>44131</v>
      </c>
      <c r="C58" s="1" t="n">
        <v>45925</v>
      </c>
      <c r="D58" t="inlineStr">
        <is>
          <t>STOCKHOLMS LÄN</t>
        </is>
      </c>
      <c r="E58" t="inlineStr">
        <is>
          <t>UPPLANDS-BRO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64114-2023</t>
        </is>
      </c>
      <c r="B59" s="1" t="n">
        <v>45279</v>
      </c>
      <c r="C59" s="1" t="n">
        <v>45925</v>
      </c>
      <c r="D59" t="inlineStr">
        <is>
          <t>STOCKHOLMS LÄN</t>
        </is>
      </c>
      <c r="E59" t="inlineStr">
        <is>
          <t>UPPLANDS-BRO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21560-2021</t>
        </is>
      </c>
      <c r="B60" s="1" t="n">
        <v>44321</v>
      </c>
      <c r="C60" s="1" t="n">
        <v>45925</v>
      </c>
      <c r="D60" t="inlineStr">
        <is>
          <t>STOCKHOLMS LÄN</t>
        </is>
      </c>
      <c r="E60" t="inlineStr">
        <is>
          <t>UPPLANDS-BRO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12363-2025</t>
        </is>
      </c>
      <c r="B61" s="1" t="n">
        <v>45730.37431712963</v>
      </c>
      <c r="C61" s="1" t="n">
        <v>45925</v>
      </c>
      <c r="D61" t="inlineStr">
        <is>
          <t>STOCKHOLMS LÄN</t>
        </is>
      </c>
      <c r="E61" t="inlineStr">
        <is>
          <t>UPPLANDS-BRO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59844-2022</t>
        </is>
      </c>
      <c r="B62" s="1" t="n">
        <v>44901</v>
      </c>
      <c r="C62" s="1" t="n">
        <v>45925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54222-2023</t>
        </is>
      </c>
      <c r="B63" s="1" t="n">
        <v>45225</v>
      </c>
      <c r="C63" s="1" t="n">
        <v>45925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12378-2025</t>
        </is>
      </c>
      <c r="B64" s="1" t="n">
        <v>45730.38032407407</v>
      </c>
      <c r="C64" s="1" t="n">
        <v>45925</v>
      </c>
      <c r="D64" t="inlineStr">
        <is>
          <t>STOCKHOLMS LÄN</t>
        </is>
      </c>
      <c r="E64" t="inlineStr">
        <is>
          <t>UPPLANDS-BRO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10912-2025</t>
        </is>
      </c>
      <c r="B65" s="1" t="n">
        <v>45722</v>
      </c>
      <c r="C65" s="1" t="n">
        <v>45925</v>
      </c>
      <c r="D65" t="inlineStr">
        <is>
          <t>STOCKHOLMS LÄN</t>
        </is>
      </c>
      <c r="E65" t="inlineStr">
        <is>
          <t>UPPLANDS-BRO</t>
        </is>
      </c>
      <c r="F65" t="inlineStr">
        <is>
          <t>Allmännings- och besparingsskogar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10935-2025</t>
        </is>
      </c>
      <c r="B66" s="1" t="n">
        <v>45722</v>
      </c>
      <c r="C66" s="1" t="n">
        <v>45925</v>
      </c>
      <c r="D66" t="inlineStr">
        <is>
          <t>STOCKHOLMS LÄN</t>
        </is>
      </c>
      <c r="E66" t="inlineStr">
        <is>
          <t>UPPLANDS-BRO</t>
        </is>
      </c>
      <c r="F66" t="inlineStr">
        <is>
          <t>Allmännings- och besparingsskogar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7112-2025</t>
        </is>
      </c>
      <c r="B67" s="1" t="n">
        <v>45701</v>
      </c>
      <c r="C67" s="1" t="n">
        <v>45925</v>
      </c>
      <c r="D67" t="inlineStr">
        <is>
          <t>STOCKHOLMS LÄN</t>
        </is>
      </c>
      <c r="E67" t="inlineStr">
        <is>
          <t>UPPLANDS-BRO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4338-2023</t>
        </is>
      </c>
      <c r="B68" s="1" t="n">
        <v>44953</v>
      </c>
      <c r="C68" s="1" t="n">
        <v>45925</v>
      </c>
      <c r="D68" t="inlineStr">
        <is>
          <t>STOCKHOLMS LÄN</t>
        </is>
      </c>
      <c r="E68" t="inlineStr">
        <is>
          <t>UPPLANDS-BRO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45925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45925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64107-2023</t>
        </is>
      </c>
      <c r="B71" s="1" t="n">
        <v>45279</v>
      </c>
      <c r="C71" s="1" t="n">
        <v>45925</v>
      </c>
      <c r="D71" t="inlineStr">
        <is>
          <t>STOCKHOLMS LÄN</t>
        </is>
      </c>
      <c r="E71" t="inlineStr">
        <is>
          <t>UPPLANDS-BRO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23093-2024</t>
        </is>
      </c>
      <c r="B72" s="1" t="n">
        <v>45450</v>
      </c>
      <c r="C72" s="1" t="n">
        <v>45925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2062-2025</t>
        </is>
      </c>
      <c r="B73" s="1" t="n">
        <v>45671</v>
      </c>
      <c r="C73" s="1" t="n">
        <v>45925</v>
      </c>
      <c r="D73" t="inlineStr">
        <is>
          <t>STOCKHOLMS LÄN</t>
        </is>
      </c>
      <c r="E73" t="inlineStr">
        <is>
          <t>UPPLANDS-BRO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23615-2025</t>
        </is>
      </c>
      <c r="B74" s="1" t="n">
        <v>45792.66532407407</v>
      </c>
      <c r="C74" s="1" t="n">
        <v>45925</v>
      </c>
      <c r="D74" t="inlineStr">
        <is>
          <t>STOCKHOLMS LÄN</t>
        </is>
      </c>
      <c r="E74" t="inlineStr">
        <is>
          <t>UPPLANDS-BRO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23627-2025</t>
        </is>
      </c>
      <c r="B75" s="1" t="n">
        <v>45792.67523148148</v>
      </c>
      <c r="C75" s="1" t="n">
        <v>45925</v>
      </c>
      <c r="D75" t="inlineStr">
        <is>
          <t>STOCKHOLMS LÄN</t>
        </is>
      </c>
      <c r="E75" t="inlineStr">
        <is>
          <t>UPPLANDS-BRO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27313-2023</t>
        </is>
      </c>
      <c r="B76" s="1" t="n">
        <v>45096</v>
      </c>
      <c r="C76" s="1" t="n">
        <v>45925</v>
      </c>
      <c r="D76" t="inlineStr">
        <is>
          <t>STOCKHOLMS LÄN</t>
        </is>
      </c>
      <c r="E76" t="inlineStr">
        <is>
          <t>UPPLANDS-BRO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59377-2024</t>
        </is>
      </c>
      <c r="B77" s="1" t="n">
        <v>45638.35164351852</v>
      </c>
      <c r="C77" s="1" t="n">
        <v>45925</v>
      </c>
      <c r="D77" t="inlineStr">
        <is>
          <t>STOCKHOLMS LÄN</t>
        </is>
      </c>
      <c r="E77" t="inlineStr">
        <is>
          <t>UPPLANDS-BRO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12892-2025</t>
        </is>
      </c>
      <c r="B78" s="1" t="n">
        <v>45733</v>
      </c>
      <c r="C78" s="1" t="n">
        <v>45925</v>
      </c>
      <c r="D78" t="inlineStr">
        <is>
          <t>STOCKHOLMS LÄN</t>
        </is>
      </c>
      <c r="E78" t="inlineStr">
        <is>
          <t>UPPLANDS-BRO</t>
        </is>
      </c>
      <c r="F78" t="inlineStr">
        <is>
          <t>Allmännings- och besparingsskogar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51587-2023</t>
        </is>
      </c>
      <c r="B79" s="1" t="n">
        <v>45215</v>
      </c>
      <c r="C79" s="1" t="n">
        <v>45925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59848-2022</t>
        </is>
      </c>
      <c r="B80" s="1" t="n">
        <v>44901</v>
      </c>
      <c r="C80" s="1" t="n">
        <v>45925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49622-2021</t>
        </is>
      </c>
      <c r="B81" s="1" t="n">
        <v>44455</v>
      </c>
      <c r="C81" s="1" t="n">
        <v>45925</v>
      </c>
      <c r="D81" t="inlineStr">
        <is>
          <t>STOCKHOLMS LÄN</t>
        </is>
      </c>
      <c r="E81" t="inlineStr">
        <is>
          <t>UPPLANDS-BRO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64110-2023</t>
        </is>
      </c>
      <c r="B82" s="1" t="n">
        <v>45279</v>
      </c>
      <c r="C82" s="1" t="n">
        <v>45925</v>
      </c>
      <c r="D82" t="inlineStr">
        <is>
          <t>STOCKHOLMS LÄN</t>
        </is>
      </c>
      <c r="E82" t="inlineStr">
        <is>
          <t>UPPLANDS-BRO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2025-09-25T10:38:21Z</dcterms:created>
  <dcterms:modified xmlns:dcterms="http://purl.org/dc/terms/" xmlns:xsi="http://www.w3.org/2001/XMLSchema-instance" xsi:type="dcterms:W3CDTF">2025-09-25T10:38:21Z</dcterms:modified>
</cp:coreProperties>
</file>