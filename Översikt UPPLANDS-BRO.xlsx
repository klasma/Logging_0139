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46312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46312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46312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73773-2021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44552</v>
      </c>
      <c r="E5" s="1" t="n">
        <v>46312</v>
      </c>
      <c r="F5" t="inlineStr">
        <is>
          <t>STOCKHOLMS LÄN</t>
        </is>
      </c>
      <c r="G5" t="inlineStr">
        <is>
          <t>UPPLANDS-BRO</t>
        </is>
      </c>
      <c r="I5" t="n">
        <v>1.9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Kopparödla
Gullviva</t>
        </is>
      </c>
      <c r="W5">
        <f>HYPERLINK("https://klasma.github.io/Logging_0139/artfynd/A 73773-2021 artfynd.xlsx", "A 73773-2021")</f>
        <v/>
      </c>
      <c r="X5">
        <f>HYPERLINK("https://klasma.github.io/Logging_0139/kartor/A 73773-2021 karta.png", "A 73773-2021")</f>
        <v/>
      </c>
      <c r="Y5">
        <f>HYPERLINK("https://klasma.github.io/Logging_0139/kartor_geotiff/A 73773-2021 georefererad karta.tif", "A 73773-2021")</f>
        <v/>
      </c>
      <c r="AA5">
        <f>HYPERLINK("https://klasma.github.io/Logging_0139/klagomål/A 73773-2021 FSC-klagomål.docx", "A 73773-2021")</f>
        <v/>
      </c>
      <c r="AB5">
        <f>HYPERLINK("https://klasma.github.io/Logging_0139/klagomålsmail/A 73773-2021 FSC-klagomål mail.docx", "A 73773-2021")</f>
        <v/>
      </c>
      <c r="AC5">
        <f>HYPERLINK("https://klasma.github.io/Logging_0139/tillsyn/A 73773-2021 tillsynsbegäran.docx", "A 73773-2021")</f>
        <v/>
      </c>
      <c r="AD5">
        <f>HYPERLINK("https://klasma.github.io/Logging_0139/tillsynsmail/A 73773-2021 tillsynsbegäran mail.docx", "A 73773-2021")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46312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Arommusseron
Fläcknycklar</t>
        </is>
      </c>
      <c r="W6">
        <f>HYPERLINK("https://klasma.github.io/Logging_0139/artfynd/A 10909-2025 artfynd.xlsx", "A 10909-2025")</f>
        <v/>
      </c>
      <c r="X6">
        <f>HYPERLINK("https://klasma.github.io/Logging_0139/kartor/A 10909-2025 karta.png", "A 10909-2025")</f>
        <v/>
      </c>
      <c r="Y6">
        <f>HYPERLINK("https://klasma.github.io/Logging_0139/kartor_geotiff/A 10909-2025 georefererad karta.tif", "A 10909-2025")</f>
        <v/>
      </c>
      <c r="AA6">
        <f>HYPERLINK("https://klasma.github.io/Logging_0139/klagomål/A 10909-2025 FSC-klagomål.docx", "A 10909-2025")</f>
        <v/>
      </c>
      <c r="AB6">
        <f>HYPERLINK("https://klasma.github.io/Logging_0139/klagomålsmail/A 10909-2025 FSC-klagomål mail.docx", "A 10909-2025")</f>
        <v/>
      </c>
      <c r="AC6">
        <f>HYPERLINK("https://klasma.github.io/Logging_0139/tillsyn/A 10909-2025 tillsynsbegäran.docx", "A 10909-2025")</f>
        <v/>
      </c>
      <c r="AD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46312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46312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46312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46312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46312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Nästrot</t>
        </is>
      </c>
      <c r="W11">
        <f>HYPERLINK("https://klasma.github.io/Logging_0139/artfynd/A 12363-2025 artfynd.xlsx", "A 12363-2025")</f>
        <v/>
      </c>
      <c r="X11">
        <f>HYPERLINK("https://klasma.github.io/Logging_0139/kartor/A 12363-2025 karta.png", "A 12363-2025")</f>
        <v/>
      </c>
      <c r="Y11">
        <f>HYPERLINK("https://klasma.github.io/Logging_0139/kartor_geotiff/A 12363-2025 georefererad karta.tif", "A 12363-2025")</f>
        <v/>
      </c>
      <c r="AA11">
        <f>HYPERLINK("https://klasma.github.io/Logging_0139/klagomål/A 12363-2025 FSC-klagomål.docx", "A 12363-2025")</f>
        <v/>
      </c>
      <c r="AB11">
        <f>HYPERLINK("https://klasma.github.io/Logging_0139/klagomålsmail/A 12363-2025 FSC-klagomål mail.docx", "A 12363-2025")</f>
        <v/>
      </c>
      <c r="AC11">
        <f>HYPERLINK("https://klasma.github.io/Logging_0139/tillsyn/A 12363-2025 tillsynsbegäran.docx", "A 12363-2025")</f>
        <v/>
      </c>
      <c r="AD11">
        <f>HYPERLINK("https://klasma.github.io/Logging_0139/tillsynsmail/A 12363-2025 tillsynsbegäran mail.docx", "A 12363-2025")</f>
        <v/>
      </c>
    </row>
    <row r="12" ht="15" customHeight="1">
      <c r="A12" t="inlineStr">
        <is>
          <t>A 53357-2025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45959</v>
      </c>
      <c r="E12" s="1" t="n">
        <v>46312</v>
      </c>
      <c r="F12" t="inlineStr">
        <is>
          <t>STOCKHOLMS LÄN</t>
        </is>
      </c>
      <c r="G12" t="inlineStr">
        <is>
          <t>UPPLANDS-BRO</t>
        </is>
      </c>
      <c r="I12" t="n">
        <v>2.4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Bombmurkla</t>
        </is>
      </c>
      <c r="W12">
        <f>HYPERLINK("https://klasma.github.io/Logging_0139/artfynd/A 53357-2025 artfynd.xlsx", "A 53357-2025")</f>
        <v/>
      </c>
      <c r="X12">
        <f>HYPERLINK("https://klasma.github.io/Logging_0139/kartor/A 53357-2025 karta.png", "A 53357-2025")</f>
        <v/>
      </c>
      <c r="Y12">
        <f>HYPERLINK("https://klasma.github.io/Logging_0139/kartor_geotiff/A 53357-2025 georefererad karta.tif", "A 53357-2025")</f>
        <v/>
      </c>
      <c r="AA12">
        <f>HYPERLINK("https://klasma.github.io/Logging_0139/klagomål/A 53357-2025 FSC-klagomål.docx", "A 53357-2025")</f>
        <v/>
      </c>
      <c r="AB12">
        <f>HYPERLINK("https://klasma.github.io/Logging_0139/klagomålsmail/A 53357-2025 FSC-klagomål mail.docx", "A 53357-2025")</f>
        <v/>
      </c>
      <c r="AC12">
        <f>HYPERLINK("https://klasma.github.io/Logging_0139/tillsyn/A 53357-2025 tillsynsbegäran.docx", "A 53357-2025")</f>
        <v/>
      </c>
      <c r="AD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46312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46312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11447-2025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45726</v>
      </c>
      <c r="E15" s="1" t="n">
        <v>46312</v>
      </c>
      <c r="F15" t="inlineStr">
        <is>
          <t>STOCKHOLMS LÄN</t>
        </is>
      </c>
      <c r="G15" t="inlineStr">
        <is>
          <t>UPPLANDS-BRO</t>
        </is>
      </c>
      <c r="I15" t="n">
        <v>1.5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Myskbock</t>
        </is>
      </c>
      <c r="W15">
        <f>HYPERLINK("https://klasma.github.io/Logging_0139/artfynd/A 11447-2025 artfynd.xlsx", "A 11447-2025")</f>
        <v/>
      </c>
      <c r="X15">
        <f>HYPERLINK("https://klasma.github.io/Logging_0139/kartor/A 11447-2025 karta.png", "A 11447-2025")</f>
        <v/>
      </c>
      <c r="Y15">
        <f>HYPERLINK("https://klasma.github.io/Logging_0139/kartor_geotiff/A 11447-2025 georefererad karta.tif", "A 11447-2025")</f>
        <v/>
      </c>
      <c r="AA15">
        <f>HYPERLINK("https://klasma.github.io/Logging_0139/klagomål/A 11447-2025 FSC-klagomål.docx", "A 11447-2025")</f>
        <v/>
      </c>
      <c r="AB15">
        <f>HYPERLINK("https://klasma.github.io/Logging_0139/klagomålsmail/A 11447-2025 FSC-klagomål mail.docx", "A 11447-2025")</f>
        <v/>
      </c>
      <c r="AC15">
        <f>HYPERLINK("https://klasma.github.io/Logging_0139/tillsyn/A 11447-2025 tillsynsbegäran.docx", "A 11447-2025")</f>
        <v/>
      </c>
      <c r="AD15">
        <f>HYPERLINK("https://klasma.github.io/Logging_0139/tillsynsmail/A 11447-2025 tillsynsbegäran mail.docx", "A 11447-2025")</f>
        <v/>
      </c>
    </row>
    <row r="16" ht="15" customHeight="1">
      <c r="A16" t="inlineStr">
        <is>
          <t>A 26196-2026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46182</v>
      </c>
      <c r="E16" s="1" t="n">
        <v>46312</v>
      </c>
      <c r="F16" t="inlineStr">
        <is>
          <t>STOCKHOLMS LÄN</t>
        </is>
      </c>
      <c r="G16" t="inlineStr">
        <is>
          <t>UPPLANDS-BRO</t>
        </is>
      </c>
      <c r="I16" t="n">
        <v>53.1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Liljekonvalj</t>
        </is>
      </c>
      <c r="W16">
        <f>HYPERLINK("https://klasma.github.io/Logging_0139/artfynd/A 26196-2026 artfynd.xlsx", "A 26196-2026")</f>
        <v/>
      </c>
      <c r="X16">
        <f>HYPERLINK("https://klasma.github.io/Logging_0139/kartor/A 26196-2026 karta.png", "A 26196-2026")</f>
        <v/>
      </c>
      <c r="Y16">
        <f>HYPERLINK("https://klasma.github.io/Logging_0139/kartor_geotiff/A 26196-2026 georefererad karta.tif", "A 26196-2026")</f>
        <v/>
      </c>
      <c r="AA16">
        <f>HYPERLINK("https://klasma.github.io/Logging_0139/klagomål/A 26196-2026 FSC-klagomål.docx", "A 26196-2026")</f>
        <v/>
      </c>
      <c r="AB16">
        <f>HYPERLINK("https://klasma.github.io/Logging_0139/klagomålsmail/A 26196-2026 FSC-klagomål mail.docx", "A 26196-2026")</f>
        <v/>
      </c>
      <c r="AC16">
        <f>HYPERLINK("https://klasma.github.io/Logging_0139/tillsyn/A 26196-2026 tillsynsbegäran.docx", "A 26196-2026")</f>
        <v/>
      </c>
      <c r="AD16">
        <f>HYPERLINK("https://klasma.github.io/Logging_0139/tillsynsmail/A 26196-2026 tillsynsbegäran mail.docx", "A 26196-2026")</f>
        <v/>
      </c>
    </row>
    <row r="17" ht="15" customHeight="1">
      <c r="A17" t="inlineStr">
        <is>
          <t>A 7955-2023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46312</v>
      </c>
      <c r="F17" t="inlineStr">
        <is>
          <t>STOCKHOLMS LÄN</t>
        </is>
      </c>
      <c r="G17" t="inlineStr">
        <is>
          <t>UPPLANDS-BRO</t>
        </is>
      </c>
      <c r="I17" t="n">
        <v>2.9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Bombmurkla</t>
        </is>
      </c>
      <c r="W17">
        <f>HYPERLINK("https://klasma.github.io/Logging_0139/artfynd/A 7955-2023 artfynd.xlsx", "A 7955-2023")</f>
        <v/>
      </c>
      <c r="X17">
        <f>HYPERLINK("https://klasma.github.io/Logging_0139/kartor/A 7955-2023 karta.png", "A 7955-2023")</f>
        <v/>
      </c>
      <c r="Y17">
        <f>HYPERLINK("https://klasma.github.io/Logging_0139/kartor_geotiff/A 7955-2023 georefererad karta.tif", "A 7955-2023")</f>
        <v/>
      </c>
      <c r="AA17">
        <f>HYPERLINK("https://klasma.github.io/Logging_0139/klagomål/A 7955-2023 FSC-klagomål.docx", "A 7955-2023")</f>
        <v/>
      </c>
      <c r="AB17">
        <f>HYPERLINK("https://klasma.github.io/Logging_0139/klagomålsmail/A 7955-2023 FSC-klagomål mail.docx", "A 7955-2023")</f>
        <v/>
      </c>
      <c r="AC17">
        <f>HYPERLINK("https://klasma.github.io/Logging_0139/tillsyn/A 7955-2023 tillsynsbegäran.docx", "A 7955-2023")</f>
        <v/>
      </c>
      <c r="AD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46312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46312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2062-2025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46312</v>
      </c>
      <c r="F20" t="inlineStr">
        <is>
          <t>STOCKHOLMS LÄN</t>
        </is>
      </c>
      <c r="G20" t="inlineStr">
        <is>
          <t>UPPLANDS-BRO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Mindre hackspett</t>
        </is>
      </c>
      <c r="W20">
        <f>HYPERLINK("https://klasma.github.io/Logging_0139/artfynd/A 2062-2025 artfynd.xlsx", "A 2062-2025")</f>
        <v/>
      </c>
      <c r="X20">
        <f>HYPERLINK("https://klasma.github.io/Logging_0139/kartor/A 2062-2025 karta.png", "A 2062-2025")</f>
        <v/>
      </c>
      <c r="Y20">
        <f>HYPERLINK("https://klasma.github.io/Logging_0139/kartor_geotiff/A 2062-2025 georefererad karta.tif", "A 2062-2025")</f>
        <v/>
      </c>
      <c r="AA20">
        <f>HYPERLINK("https://klasma.github.io/Logging_0139/klagomål/A 2062-2025 FSC-klagomål.docx", "A 2062-2025")</f>
        <v/>
      </c>
      <c r="AB20">
        <f>HYPERLINK("https://klasma.github.io/Logging_0139/klagomålsmail/A 2062-2025 FSC-klagomål mail.docx", "A 2062-2025")</f>
        <v/>
      </c>
      <c r="AC20">
        <f>HYPERLINK("https://klasma.github.io/Logging_0139/tillsyn/A 2062-2025 tillsynsbegäran.docx", "A 2062-2025")</f>
        <v/>
      </c>
      <c r="AD20">
        <f>HYPERLINK("https://klasma.github.io/Logging_0139/tillsynsmail/A 2062-2025 tillsynsbegäran mail.docx", "A 2062-2025")</f>
        <v/>
      </c>
      <c r="AE20">
        <f>HYPERLINK("https://klasma.github.io/Logging_0139/fåglar/A 2062-2025 prioriterade fågelarter.docx", "A 2062-2025")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46312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25561-2025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45803</v>
      </c>
      <c r="E22" s="1" t="n">
        <v>46312</v>
      </c>
      <c r="F22" t="inlineStr">
        <is>
          <t>STOCKHOLMS LÄN</t>
        </is>
      </c>
      <c r="G22" t="inlineStr">
        <is>
          <t>UPPLANDS-BRO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HYPERLINK("https://klasma.github.io/Logging_0139/artfynd/A 25561-2025 artfynd.xlsx", "A 25561-2025")</f>
        <v/>
      </c>
      <c r="X22">
        <f>HYPERLINK("https://klasma.github.io/Logging_0139/kartor/A 25561-2025 karta.png", "A 25561-2025")</f>
        <v/>
      </c>
      <c r="Y22">
        <f>HYPERLINK("https://klasma.github.io/Logging_0139/kartor_geotiff/A 25561-2025 georefererad karta.tif", "A 25561-2025")</f>
        <v/>
      </c>
      <c r="AA22">
        <f>HYPERLINK("https://klasma.github.io/Logging_0139/klagomål/A 25561-2025 FSC-klagomål.docx", "A 25561-2025")</f>
        <v/>
      </c>
      <c r="AB22">
        <f>HYPERLINK("https://klasma.github.io/Logging_0139/klagomålsmail/A 25561-2025 FSC-klagomål mail.docx", "A 25561-2025")</f>
        <v/>
      </c>
      <c r="AC22">
        <f>HYPERLINK("https://klasma.github.io/Logging_0139/tillsyn/A 25561-2025 tillsynsbegäran.docx", "A 25561-2025")</f>
        <v/>
      </c>
      <c r="AD22">
        <f>HYPERLINK("https://klasma.github.io/Logging_0139/tillsynsmail/A 25561-2025 tillsynsbegäran mail.docx", "A 25561-2025")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46312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46312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46312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72523-2021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46312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46312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46312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14719-2022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46312</v>
      </c>
      <c r="F29" t="inlineStr">
        <is>
          <t>STOCKHOLMS LÄN</t>
        </is>
      </c>
      <c r="G29" t="inlineStr">
        <is>
          <t>UPPLANDS-BRO</t>
        </is>
      </c>
      <c r="H29" t="inlineStr">
        <is>
          <t>Allmännings- och besparingsskogar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64105-2023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46312</v>
      </c>
      <c r="F30" t="inlineStr">
        <is>
          <t>STOCKHOLMS LÄN</t>
        </is>
      </c>
      <c r="G30" t="inlineStr">
        <is>
          <t>UPPLANDS-BRO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46312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46312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23093-2024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45450</v>
      </c>
      <c r="E33" s="1" t="n">
        <v>46312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46312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54222-2023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45225</v>
      </c>
      <c r="E35" s="1" t="n">
        <v>46312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7860-2024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46312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46312</v>
      </c>
      <c r="F37" t="inlineStr">
        <is>
          <t>STOCKHOLMS LÄN</t>
        </is>
      </c>
      <c r="G37" t="inlineStr">
        <is>
          <t>UPPLANDS-BRO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64114-2023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45279</v>
      </c>
      <c r="E38" s="1" t="n">
        <v>46312</v>
      </c>
      <c r="F38" t="inlineStr">
        <is>
          <t>STOCKHOLMS LÄN</t>
        </is>
      </c>
      <c r="G38" t="inlineStr">
        <is>
          <t>UPPLANDS-BRO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50294-2023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46312</v>
      </c>
      <c r="F39" t="inlineStr">
        <is>
          <t>STOCKHOLMS LÄN</t>
        </is>
      </c>
      <c r="G39" t="inlineStr">
        <is>
          <t>UPPLANDS-BRO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58011-2021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44487</v>
      </c>
      <c r="E40" s="1" t="n">
        <v>46312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46312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46312</v>
      </c>
      <c r="F42" t="inlineStr">
        <is>
          <t>STOCKHOLMS LÄN</t>
        </is>
      </c>
      <c r="G42" t="inlineStr">
        <is>
          <t>UPPLANDS-BRO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23098-2024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45450</v>
      </c>
      <c r="E43" s="1" t="n">
        <v>46312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46312</v>
      </c>
      <c r="F44" t="inlineStr">
        <is>
          <t>STOCKHOLMS LÄN</t>
        </is>
      </c>
      <c r="G44" t="inlineStr">
        <is>
          <t>UPPLANDS-BRO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59402-2022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44906</v>
      </c>
      <c r="E45" s="1" t="n">
        <v>46312</v>
      </c>
      <c r="F45" t="inlineStr">
        <is>
          <t>STOCKHOLMS LÄN</t>
        </is>
      </c>
      <c r="G45" t="inlineStr">
        <is>
          <t>UPPLANDS-BRO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46312</v>
      </c>
      <c r="F46" t="inlineStr">
        <is>
          <t>STOCKHOLMS LÄN</t>
        </is>
      </c>
      <c r="G46" t="inlineStr">
        <is>
          <t>UPPLANDS-BRO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46312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44770</v>
      </c>
      <c r="E48" s="1" t="n">
        <v>46312</v>
      </c>
      <c r="F48" t="inlineStr">
        <is>
          <t>STOCKHOLMS LÄN</t>
        </is>
      </c>
      <c r="G48" t="inlineStr">
        <is>
          <t>UPPLANDS-BRO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46312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46312</v>
      </c>
      <c r="F50" t="inlineStr">
        <is>
          <t>STOCKHOLMS LÄN</t>
        </is>
      </c>
      <c r="G50" t="inlineStr">
        <is>
          <t>UPPLANDS-BRO</t>
        </is>
      </c>
      <c r="H50" t="inlineStr">
        <is>
          <t>Allmännings- och besparingsskogar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46312</v>
      </c>
      <c r="F51" t="inlineStr">
        <is>
          <t>STOCKHOLMS LÄN</t>
        </is>
      </c>
      <c r="G51" t="inlineStr">
        <is>
          <t>UPPLANDS-BRO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46312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72524-2021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44546</v>
      </c>
      <c r="E53" s="1" t="n">
        <v>46312</v>
      </c>
      <c r="F53" t="inlineStr">
        <is>
          <t>STOCKHOLMS LÄN</t>
        </is>
      </c>
      <c r="G53" t="inlineStr">
        <is>
          <t>UPPLANDS-BRO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46043</v>
      </c>
      <c r="E54" s="1" t="n">
        <v>46312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46312</v>
      </c>
      <c r="F55" t="inlineStr">
        <is>
          <t>STOCKHOLMS LÄN</t>
        </is>
      </c>
      <c r="G55" t="inlineStr">
        <is>
          <t>UPPLANDS-BRO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46312</v>
      </c>
      <c r="F56" t="inlineStr">
        <is>
          <t>STOCKHOLMS LÄN</t>
        </is>
      </c>
      <c r="G56" t="inlineStr">
        <is>
          <t>UPPLANDS-BRO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46312</v>
      </c>
      <c r="F57" t="inlineStr">
        <is>
          <t>STOCKHOLMS LÄN</t>
        </is>
      </c>
      <c r="G57" t="inlineStr">
        <is>
          <t>UPPLANDS-BRO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46312</v>
      </c>
      <c r="F58" t="inlineStr">
        <is>
          <t>STOCKHOLMS LÄN</t>
        </is>
      </c>
      <c r="G58" t="inlineStr">
        <is>
          <t>UPPLANDS-BRO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46312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46312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18813-2026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46312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46312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46312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46312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46226</v>
      </c>
      <c r="E65" s="1" t="n">
        <v>46312</v>
      </c>
      <c r="F65" t="inlineStr">
        <is>
          <t>STOCKHOLMS LÄN</t>
        </is>
      </c>
      <c r="G65" t="inlineStr">
        <is>
          <t>UPPLANDS-BRO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46312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46312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46312</v>
      </c>
      <c r="F68" t="inlineStr">
        <is>
          <t>STOCKHOLMS LÄN</t>
        </is>
      </c>
      <c r="G68" t="inlineStr">
        <is>
          <t>UPPLANDS-BRO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46312</v>
      </c>
      <c r="F69" t="inlineStr">
        <is>
          <t>STOCKHOLMS LÄN</t>
        </is>
      </c>
      <c r="G69" t="inlineStr">
        <is>
          <t>UPPLANDS-BRO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46312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46312</v>
      </c>
      <c r="F71" t="inlineStr">
        <is>
          <t>STOCKHOLMS LÄN</t>
        </is>
      </c>
      <c r="G71" t="inlineStr">
        <is>
          <t>UPPLANDS-BRO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46312</v>
      </c>
      <c r="F72" t="inlineStr">
        <is>
          <t>STOCKHOLMS LÄN</t>
        </is>
      </c>
      <c r="G72" t="inlineStr">
        <is>
          <t>UPPLANDS-BRO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46312</v>
      </c>
      <c r="F73" t="inlineStr">
        <is>
          <t>STOCKHOLMS LÄN</t>
        </is>
      </c>
      <c r="G73" t="inlineStr">
        <is>
          <t>UPPLANDS-BRO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10447-2021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44558</v>
      </c>
      <c r="E74" s="1" t="n">
        <v>46312</v>
      </c>
      <c r="F74" t="inlineStr">
        <is>
          <t>STOCKHOLMS LÄN</t>
        </is>
      </c>
      <c r="G74" t="inlineStr">
        <is>
          <t>UPPLANDS-BRO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2026-10-17T02:06:13Z</dcterms:created>
  <dcterms:modified xmlns:dcterms="http://purl.org/dc/terms/" xmlns:xsi="http://www.w3.org/2001/XMLSchema-instance" xsi:type="dcterms:W3CDTF">2026-10-17T02:06:13Z</dcterms:modified>
</cp:coreProperties>
</file>