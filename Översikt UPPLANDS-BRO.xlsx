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46271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44552</v>
      </c>
      <c r="E12" s="1" t="n">
        <v>46271</v>
      </c>
      <c r="F12" t="inlineStr">
        <is>
          <t>STOCKHOLMS LÄN</t>
        </is>
      </c>
      <c r="G12" t="inlineStr">
        <is>
          <t>UPPLANDS-BRO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Kopparödla</t>
        </is>
      </c>
      <c r="W12">
        <f>HYPERLINK("https://klasma.github.io/Logging_0139/artfynd/A 73773-2021 artfynd.xlsx", "A 73773-2021")</f>
        <v/>
      </c>
      <c r="X12">
        <f>HYPERLINK("https://klasma.github.io/Logging_0139/kartor/A 73773-2021 karta.png", "A 73773-2021")</f>
        <v/>
      </c>
      <c r="Y12">
        <f>HYPERLINK("https://klasma.github.io/Logging_0139/kartor_geotiff/A 73773-2021 georefererad karta.tif", "A 73773-2021")</f>
        <v/>
      </c>
      <c r="AA12">
        <f>HYPERLINK("https://klasma.github.io/Logging_0139/klagomål/A 73773-2021 FSC-klagomål.docx", "A 73773-2021")</f>
        <v/>
      </c>
      <c r="AB12">
        <f>HYPERLINK("https://klasma.github.io/Logging_0139/klagomålsmail/A 73773-2021 FSC-klagomål mail.docx", "A 73773-2021")</f>
        <v/>
      </c>
      <c r="AC12">
        <f>HYPERLINK("https://klasma.github.io/Logging_0139/tillsyn/A 73773-2021 tillsynsbegäran.docx", "A 73773-2021")</f>
        <v/>
      </c>
      <c r="AD12">
        <f>HYPERLINK("https://klasma.github.io/Logging_0139/tillsynsmail/A 73773-2021 tillsynsbegäran mail.docx", "A 73773-2021")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46271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2409-2026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46271</v>
      </c>
      <c r="F14" t="inlineStr">
        <is>
          <t>STOCKHOLMS LÄN</t>
        </is>
      </c>
      <c r="G14" t="inlineStr">
        <is>
          <t>UPPLANDS-BRO</t>
        </is>
      </c>
      <c r="I14" t="n">
        <v>14.2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HYPERLINK("https://klasma.github.io/Logging_0139/artfynd/A 2409-2026 artfynd.xlsx", "A 2409-2026")</f>
        <v/>
      </c>
      <c r="X14">
        <f>HYPERLINK("https://klasma.github.io/Logging_0139/kartor/A 2409-2026 karta.png", "A 2409-2026")</f>
        <v/>
      </c>
      <c r="Y14">
        <f>HYPERLINK("https://klasma.github.io/Logging_0139/kartor_geotiff/A 2409-2026 georefererad karta.tif", "A 2409-2026")</f>
        <v/>
      </c>
      <c r="AA14">
        <f>HYPERLINK("https://klasma.github.io/Logging_0139/klagomål/A 2409-2026 FSC-klagomål.docx", "A 2409-2026")</f>
        <v/>
      </c>
      <c r="AB14">
        <f>HYPERLINK("https://klasma.github.io/Logging_0139/klagomålsmail/A 2409-2026 FSC-klagomål mail.docx", "A 2409-2026")</f>
        <v/>
      </c>
      <c r="AC14">
        <f>HYPERLINK("https://klasma.github.io/Logging_0139/tillsyn/A 2409-2026 tillsynsbegäran.docx", "A 2409-2026")</f>
        <v/>
      </c>
      <c r="AD14">
        <f>HYPERLINK("https://klasma.github.io/Logging_0139/tillsynsmail/A 2409-2026 tillsynsbegäran mail.docx", "A 2409-2026")</f>
        <v/>
      </c>
      <c r="AE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46271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46271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46271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46271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46271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46271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46271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46271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46271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46271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46271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46271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46271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46271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46271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46271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46271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46271</v>
      </c>
      <c r="F33" t="inlineStr">
        <is>
          <t>STOCKHOLMS LÄN</t>
        </is>
      </c>
      <c r="G33" t="inlineStr">
        <is>
          <t>UPPLANDS-BRO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46271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46271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46271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46271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46271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46271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46271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46271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46271</v>
      </c>
      <c r="F42" t="inlineStr">
        <is>
          <t>STOCKHOLMS LÄN</t>
        </is>
      </c>
      <c r="G42" t="inlineStr">
        <is>
          <t>UPPLANDS-BRO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9655-2026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46271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46271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46271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46271</v>
      </c>
      <c r="F46" t="inlineStr">
        <is>
          <t>STOCKHOLMS LÄN</t>
        </is>
      </c>
      <c r="G46" t="inlineStr">
        <is>
          <t>UPPLANDS-BRO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46271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46271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46271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56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46271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46271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46271</v>
      </c>
      <c r="F52" t="inlineStr">
        <is>
          <t>STOCKHOLMS LÄN</t>
        </is>
      </c>
      <c r="G52" t="inlineStr">
        <is>
          <t>UPPLANDS-BRO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46271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72524-2021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46271</v>
      </c>
      <c r="F54" t="inlineStr">
        <is>
          <t>STOCKHOLMS LÄN</t>
        </is>
      </c>
      <c r="G54" t="inlineStr">
        <is>
          <t>UPPLANDS-BRO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46271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46271</v>
      </c>
      <c r="F56" t="inlineStr">
        <is>
          <t>STOCKHOLMS LÄN</t>
        </is>
      </c>
      <c r="G56" t="inlineStr">
        <is>
          <t>UPPLANDS-BRO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46271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46271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46170</v>
      </c>
      <c r="E59" s="1" t="n">
        <v>46271</v>
      </c>
      <c r="F59" t="inlineStr">
        <is>
          <t>STOCKHOLMS LÄN</t>
        </is>
      </c>
      <c r="G59" t="inlineStr">
        <is>
          <t>UPPLANDS-BRO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46271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46271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46271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46271</v>
      </c>
      <c r="F63" t="inlineStr">
        <is>
          <t>STOCKHOLMS LÄN</t>
        </is>
      </c>
      <c r="G63" t="inlineStr">
        <is>
          <t>UPPLANDS-BRO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46271</v>
      </c>
      <c r="F64" t="inlineStr">
        <is>
          <t>STOCKHOLMS LÄN</t>
        </is>
      </c>
      <c r="G64" t="inlineStr">
        <is>
          <t>UPPLANDS-BRO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46271</v>
      </c>
      <c r="F65" t="inlineStr">
        <is>
          <t>STOCKHOLMS LÄN</t>
        </is>
      </c>
      <c r="G65" t="inlineStr">
        <is>
          <t>UPPLANDS-BRO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46271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46271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46271</v>
      </c>
      <c r="F68" t="inlineStr">
        <is>
          <t>STOCKHOLMS LÄN</t>
        </is>
      </c>
      <c r="G68" t="inlineStr">
        <is>
          <t>UPPLANDS-BRO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46271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46271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46271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46271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46271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46271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46271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46271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46226</v>
      </c>
      <c r="E77" s="1" t="n">
        <v>46271</v>
      </c>
      <c r="F77" t="inlineStr">
        <is>
          <t>STOCKHOLMS LÄN</t>
        </is>
      </c>
      <c r="G77" t="inlineStr">
        <is>
          <t>UPPLANDS-BRO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46271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2026-09-06T02:07:31Z</dcterms:created>
  <dcterms:modified xmlns:dcterms="http://purl.org/dc/terms/" xmlns:xsi="http://www.w3.org/2001/XMLSchema-instance" xsi:type="dcterms:W3CDTF">2026-09-06T02:07:31Z</dcterms:modified>
</cp:coreProperties>
</file>