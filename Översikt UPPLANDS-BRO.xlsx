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46302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46302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46302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46302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73773-2021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44552</v>
      </c>
      <c r="E6" s="1" t="n">
        <v>46302</v>
      </c>
      <c r="F6" t="inlineStr">
        <is>
          <t>STOCKHOLMS LÄN</t>
        </is>
      </c>
      <c r="G6" t="inlineStr">
        <is>
          <t>UPPLANDS-BRO</t>
        </is>
      </c>
      <c r="I6" t="n">
        <v>1.9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Kopparödla
Gullviva</t>
        </is>
      </c>
      <c r="W6">
        <f>HYPERLINK("https://klasma.github.io/Logging_0139/artfynd/A 73773-2021 artfynd.xlsx", "A 73773-2021")</f>
        <v/>
      </c>
      <c r="X6">
        <f>HYPERLINK("https://klasma.github.io/Logging_0139/kartor/A 73773-2021 karta.png", "A 73773-2021")</f>
        <v/>
      </c>
      <c r="Y6">
        <f>HYPERLINK("https://klasma.github.io/Logging_0139/kartor_geotiff/A 73773-2021 georefererad karta.tif", "A 73773-2021")</f>
        <v/>
      </c>
      <c r="AA6">
        <f>HYPERLINK("https://klasma.github.io/Logging_0139/klagomål/A 73773-2021 FSC-klagomål.docx", "A 73773-2021")</f>
        <v/>
      </c>
      <c r="AB6">
        <f>HYPERLINK("https://klasma.github.io/Logging_0139/klagomålsmail/A 73773-2021 FSC-klagomål mail.docx", "A 73773-2021")</f>
        <v/>
      </c>
      <c r="AC6">
        <f>HYPERLINK("https://klasma.github.io/Logging_0139/tillsyn/A 73773-2021 tillsynsbegäran.docx", "A 73773-2021")</f>
        <v/>
      </c>
      <c r="AD6">
        <f>HYPERLINK("https://klasma.github.io/Logging_0139/tillsynsmail/A 73773-2021 tillsynsbegäran mail.docx", "A 73773-2021")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46302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46302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A 10909-2025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45722</v>
      </c>
      <c r="E9" s="1" t="n">
        <v>46302</v>
      </c>
      <c r="F9" t="inlineStr">
        <is>
          <t>STOCKHOLMS LÄN</t>
        </is>
      </c>
      <c r="G9" t="inlineStr">
        <is>
          <t>UPPLANDS-BRO</t>
        </is>
      </c>
      <c r="H9" t="inlineStr">
        <is>
          <t>Allmännings- och besparingsskogar</t>
        </is>
      </c>
      <c r="I9" t="n">
        <v>11.2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Arommusseron
Fläcknycklar</t>
        </is>
      </c>
      <c r="W9">
        <f>HYPERLINK("https://klasma.github.io/Logging_0139/artfynd/A 10909-2025 artfynd.xlsx", "A 10909-2025")</f>
        <v/>
      </c>
      <c r="X9">
        <f>HYPERLINK("https://klasma.github.io/Logging_0139/kartor/A 10909-2025 karta.png", "A 10909-2025")</f>
        <v/>
      </c>
      <c r="Y9">
        <f>HYPERLINK("https://klasma.github.io/Logging_0139/kartor_geotiff/A 10909-2025 georefererad karta.tif", "A 10909-2025")</f>
        <v/>
      </c>
      <c r="AA9">
        <f>HYPERLINK("https://klasma.github.io/Logging_0139/klagomål/A 10909-2025 FSC-klagomål.docx", "A 10909-2025")</f>
        <v/>
      </c>
      <c r="AB9">
        <f>HYPERLINK("https://klasma.github.io/Logging_0139/klagomålsmail/A 10909-2025 FSC-klagomål mail.docx", "A 10909-2025")</f>
        <v/>
      </c>
      <c r="AC9">
        <f>HYPERLINK("https://klasma.github.io/Logging_0139/tillsyn/A 10909-2025 tillsynsbegäran.docx", "A 10909-2025")</f>
        <v/>
      </c>
      <c r="AD9">
        <f>HYPERLINK("https://klasma.github.io/Logging_0139/tillsynsmail/A 10909-2025 tillsynsbegäran mail.docx", "A 10909-2025")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46302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46302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25561-2025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45803</v>
      </c>
      <c r="E12" s="1" t="n">
        <v>46302</v>
      </c>
      <c r="F12" t="inlineStr">
        <is>
          <t>STOCKHOLMS LÄN</t>
        </is>
      </c>
      <c r="G12" t="inlineStr">
        <is>
          <t>UPPLANDS-BRO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25561-2025 artfynd.xlsx", "A 25561-2025")</f>
        <v/>
      </c>
      <c r="X12">
        <f>HYPERLINK("https://klasma.github.io/Logging_0139/kartor/A 25561-2025 karta.png", "A 25561-2025")</f>
        <v/>
      </c>
      <c r="Y12">
        <f>HYPERLINK("https://klasma.github.io/Logging_0139/kartor_geotiff/A 25561-2025 georefererad karta.tif", "A 25561-2025")</f>
        <v/>
      </c>
      <c r="AA12">
        <f>HYPERLINK("https://klasma.github.io/Logging_0139/klagomål/A 25561-2025 FSC-klagomål.docx", "A 25561-2025")</f>
        <v/>
      </c>
      <c r="AB12">
        <f>HYPERLINK("https://klasma.github.io/Logging_0139/klagomålsmail/A 25561-2025 FSC-klagomål mail.docx", "A 25561-2025")</f>
        <v/>
      </c>
      <c r="AC12">
        <f>HYPERLINK("https://klasma.github.io/Logging_0139/tillsyn/A 25561-2025 tillsynsbegäran.docx", "A 25561-2025")</f>
        <v/>
      </c>
      <c r="AD12">
        <f>HYPERLINK("https://klasma.github.io/Logging_0139/tillsynsmail/A 25561-2025 tillsynsbegäran mail.docx", "A 25561-2025")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46302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53357-2025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45959</v>
      </c>
      <c r="E14" s="1" t="n">
        <v>46302</v>
      </c>
      <c r="F14" t="inlineStr">
        <is>
          <t>STOCKHOLMS LÄN</t>
        </is>
      </c>
      <c r="G14" t="inlineStr">
        <is>
          <t>UPPLANDS-BRO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Bombmurkla</t>
        </is>
      </c>
      <c r="W14">
        <f>HYPERLINK("https://klasma.github.io/Logging_0139/artfynd/A 53357-2025 artfynd.xlsx", "A 53357-2025")</f>
        <v/>
      </c>
      <c r="X14">
        <f>HYPERLINK("https://klasma.github.io/Logging_0139/kartor/A 53357-2025 karta.png", "A 53357-2025")</f>
        <v/>
      </c>
      <c r="Y14">
        <f>HYPERLINK("https://klasma.github.io/Logging_0139/kartor_geotiff/A 53357-2025 georefererad karta.tif", "A 53357-2025")</f>
        <v/>
      </c>
      <c r="AA14">
        <f>HYPERLINK("https://klasma.github.io/Logging_0139/klagomål/A 53357-2025 FSC-klagomål.docx", "A 53357-2025")</f>
        <v/>
      </c>
      <c r="AB14">
        <f>HYPERLINK("https://klasma.github.io/Logging_0139/klagomålsmail/A 53357-2025 FSC-klagomål mail.docx", "A 53357-2025")</f>
        <v/>
      </c>
      <c r="AC14">
        <f>HYPERLINK("https://klasma.github.io/Logging_0139/tillsyn/A 53357-2025 tillsynsbegäran.docx", "A 53357-2025")</f>
        <v/>
      </c>
      <c r="AD14">
        <f>HYPERLINK("https://klasma.github.io/Logging_0139/tillsynsmail/A 53357-2025 tillsynsbegäran mail.docx", "A 53357-2025")</f>
        <v/>
      </c>
    </row>
    <row r="15" ht="15" customHeight="1">
      <c r="A15" t="inlineStr">
        <is>
          <t>A 26196-2026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46182</v>
      </c>
      <c r="E15" s="1" t="n">
        <v>46302</v>
      </c>
      <c r="F15" t="inlineStr">
        <is>
          <t>STOCKHOLMS LÄN</t>
        </is>
      </c>
      <c r="G15" t="inlineStr">
        <is>
          <t>UPPLANDS-BRO</t>
        </is>
      </c>
      <c r="I15" t="n">
        <v>53.1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Liljekonvalj</t>
        </is>
      </c>
      <c r="W15">
        <f>HYPERLINK("https://klasma.github.io/Logging_0139/artfynd/A 26196-2026 artfynd.xlsx", "A 26196-2026")</f>
        <v/>
      </c>
      <c r="X15">
        <f>HYPERLINK("https://klasma.github.io/Logging_0139/kartor/A 26196-2026 karta.png", "A 26196-2026")</f>
        <v/>
      </c>
      <c r="Y15">
        <f>HYPERLINK("https://klasma.github.io/Logging_0139/kartor_geotiff/A 26196-2026 georefererad karta.tif", "A 26196-2026")</f>
        <v/>
      </c>
      <c r="AA15">
        <f>HYPERLINK("https://klasma.github.io/Logging_0139/klagomål/A 26196-2026 FSC-klagomål.docx", "A 26196-2026")</f>
        <v/>
      </c>
      <c r="AB15">
        <f>HYPERLINK("https://klasma.github.io/Logging_0139/klagomålsmail/A 26196-2026 FSC-klagomål mail.docx", "A 26196-2026")</f>
        <v/>
      </c>
      <c r="AC15">
        <f>HYPERLINK("https://klasma.github.io/Logging_0139/tillsyn/A 26196-2026 tillsynsbegäran.docx", "A 26196-2026")</f>
        <v/>
      </c>
      <c r="AD15">
        <f>HYPERLINK("https://klasma.github.io/Logging_0139/tillsynsmail/A 26196-2026 tillsynsbegäran mail.docx", "A 26196-2026")</f>
        <v/>
      </c>
    </row>
    <row r="16" ht="15" customHeight="1">
      <c r="A16" t="inlineStr">
        <is>
          <t>A 26623-2026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46302</v>
      </c>
      <c r="F16" t="inlineStr">
        <is>
          <t>STOCKHOLMS LÄN</t>
        </is>
      </c>
      <c r="G16" t="inlineStr">
        <is>
          <t>UPPLANDS-BRO</t>
        </is>
      </c>
      <c r="I16" t="n">
        <v>4.6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Svartöra</t>
        </is>
      </c>
      <c r="W16">
        <f>HYPERLINK("https://klasma.github.io/Logging_0139/artfynd/A 26623-2026 artfynd.xlsx", "A 26623-2026")</f>
        <v/>
      </c>
      <c r="X16">
        <f>HYPERLINK("https://klasma.github.io/Logging_0139/kartor/A 26623-2026 karta.png", "A 26623-2026")</f>
        <v/>
      </c>
      <c r="Y16">
        <f>HYPERLINK("https://klasma.github.io/Logging_0139/kartor_geotiff/A 26623-2026 georefererad karta.tif", "A 26623-2026")</f>
        <v/>
      </c>
      <c r="AA16">
        <f>HYPERLINK("https://klasma.github.io/Logging_0139/klagomål/A 26623-2026 FSC-klagomål.docx", "A 26623-2026")</f>
        <v/>
      </c>
      <c r="AB16">
        <f>HYPERLINK("https://klasma.github.io/Logging_0139/klagomålsmail/A 26623-2026 FSC-klagomål mail.docx", "A 26623-2026")</f>
        <v/>
      </c>
      <c r="AC16">
        <f>HYPERLINK("https://klasma.github.io/Logging_0139/tillsyn/A 26623-2026 tillsynsbegäran.docx", "A 26623-2026")</f>
        <v/>
      </c>
      <c r="AD16">
        <f>HYPERLINK("https://klasma.github.io/Logging_0139/tillsynsmail/A 26623-2026 tillsynsbegäran mail.docx", "A 26623-2026")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46302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46438-2023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46302</v>
      </c>
      <c r="F18" t="inlineStr">
        <is>
          <t>STOCKHOLMS LÄN</t>
        </is>
      </c>
      <c r="G18" t="inlineStr">
        <is>
          <t>UPPLANDS-BRO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Bombmurkla</t>
        </is>
      </c>
      <c r="W18">
        <f>HYPERLINK("https://klasma.github.io/Logging_0139/artfynd/A 46438-2023 artfynd.xlsx", "A 46438-2023")</f>
        <v/>
      </c>
      <c r="X18">
        <f>HYPERLINK("https://klasma.github.io/Logging_0139/kartor/A 46438-2023 karta.png", "A 46438-2023")</f>
        <v/>
      </c>
      <c r="Y18">
        <f>HYPERLINK("https://klasma.github.io/Logging_0139/kartor_geotiff/A 46438-2023 georefererad karta.tif", "A 46438-2023")</f>
        <v/>
      </c>
      <c r="AA18">
        <f>HYPERLINK("https://klasma.github.io/Logging_0139/klagomål/A 46438-2023 FSC-klagomål.docx", "A 46438-2023")</f>
        <v/>
      </c>
      <c r="AB18">
        <f>HYPERLINK("https://klasma.github.io/Logging_0139/klagomålsmail/A 46438-2023 FSC-klagomål mail.docx", "A 46438-2023")</f>
        <v/>
      </c>
      <c r="AC18">
        <f>HYPERLINK("https://klasma.github.io/Logging_0139/tillsyn/A 46438-2023 tillsynsbegäran.docx", "A 46438-2023")</f>
        <v/>
      </c>
      <c r="AD18">
        <f>HYPERLINK("https://klasma.github.io/Logging_0139/tillsynsmail/A 46438-2023 tillsynsbegäran mail.docx", "A 46438-2023")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46302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7955-2023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46302</v>
      </c>
      <c r="F20" t="inlineStr">
        <is>
          <t>STOCKHOLMS LÄN</t>
        </is>
      </c>
      <c r="G20" t="inlineStr">
        <is>
          <t>UPPLANDS-BRO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Bombmurkla</t>
        </is>
      </c>
      <c r="W20">
        <f>HYPERLINK("https://klasma.github.io/Logging_0139/artfynd/A 7955-2023 artfynd.xlsx", "A 7955-2023")</f>
        <v/>
      </c>
      <c r="X20">
        <f>HYPERLINK("https://klasma.github.io/Logging_0139/kartor/A 7955-2023 karta.png", "A 7955-2023")</f>
        <v/>
      </c>
      <c r="Y20">
        <f>HYPERLINK("https://klasma.github.io/Logging_0139/kartor_geotiff/A 7955-2023 georefererad karta.tif", "A 7955-2023")</f>
        <v/>
      </c>
      <c r="AA20">
        <f>HYPERLINK("https://klasma.github.io/Logging_0139/klagomål/A 7955-2023 FSC-klagomål.docx", "A 7955-2023")</f>
        <v/>
      </c>
      <c r="AB20">
        <f>HYPERLINK("https://klasma.github.io/Logging_0139/klagomålsmail/A 7955-2023 FSC-klagomål mail.docx", "A 7955-2023")</f>
        <v/>
      </c>
      <c r="AC20">
        <f>HYPERLINK("https://klasma.github.io/Logging_0139/tillsyn/A 7955-2023 tillsynsbegäran.docx", "A 7955-2023")</f>
        <v/>
      </c>
      <c r="AD20">
        <f>HYPERLINK("https://klasma.github.io/Logging_0139/tillsynsmail/A 7955-2023 tillsynsbegäran mail.docx", "A 7955-2023")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46302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46302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46302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46302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46302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46302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46302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46302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46302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46302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46302</v>
      </c>
      <c r="F31" t="inlineStr">
        <is>
          <t>STOCKHOLMS LÄN</t>
        </is>
      </c>
      <c r="G31" t="inlineStr">
        <is>
          <t>UPPLANDS-BRO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46302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46302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23093-2024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45450</v>
      </c>
      <c r="E34" s="1" t="n">
        <v>46302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44950</v>
      </c>
      <c r="E35" s="1" t="n">
        <v>46302</v>
      </c>
      <c r="F35" t="inlineStr">
        <is>
          <t>STOCKHOLMS LÄN</t>
        </is>
      </c>
      <c r="G35" t="inlineStr">
        <is>
          <t>UPPLANDS-BRO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46302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46302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9655-2026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46302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17.2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46302</v>
      </c>
      <c r="F39" t="inlineStr">
        <is>
          <t>STOCKHOLMS LÄN</t>
        </is>
      </c>
      <c r="G39" t="inlineStr">
        <is>
          <t>UPPLANDS-BRO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45279</v>
      </c>
      <c r="E40" s="1" t="n">
        <v>46302</v>
      </c>
      <c r="F40" t="inlineStr">
        <is>
          <t>STOCKHOLMS LÄN</t>
        </is>
      </c>
      <c r="G40" t="inlineStr">
        <is>
          <t>UPPLANDS-BRO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50294-2023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46302</v>
      </c>
      <c r="F41" t="inlineStr">
        <is>
          <t>STOCKHOLMS LÄN</t>
        </is>
      </c>
      <c r="G41" t="inlineStr">
        <is>
          <t>UPPLANDS-BRO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46302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58011-2021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44487</v>
      </c>
      <c r="E43" s="1" t="n">
        <v>46302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9.199999999999999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18813-2026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46302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56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18818-2026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46302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17.8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18787-2026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46302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21206-2026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46146</v>
      </c>
      <c r="E47" s="1" t="n">
        <v>46302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46170</v>
      </c>
      <c r="E48" s="1" t="n">
        <v>46302</v>
      </c>
      <c r="F48" t="inlineStr">
        <is>
          <t>STOCKHOLMS LÄN</t>
        </is>
      </c>
      <c r="G48" t="inlineStr">
        <is>
          <t>UPPLANDS-BRO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31160-2022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44770</v>
      </c>
      <c r="E49" s="1" t="n">
        <v>46302</v>
      </c>
      <c r="F49" t="inlineStr">
        <is>
          <t>STOCKHOLMS LÄN</t>
        </is>
      </c>
      <c r="G49" t="inlineStr">
        <is>
          <t>UPPLANDS-BRO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58598-2025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45986</v>
      </c>
      <c r="E50" s="1" t="n">
        <v>46302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46302</v>
      </c>
      <c r="F51" t="inlineStr">
        <is>
          <t>STOCKHOLMS LÄN</t>
        </is>
      </c>
      <c r="G51" t="inlineStr">
        <is>
          <t>UPPLANDS-BRO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26625-2026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46302</v>
      </c>
      <c r="F52" t="inlineStr">
        <is>
          <t>STOCKHOLMS LÄN</t>
        </is>
      </c>
      <c r="G52" t="inlineStr">
        <is>
          <t>UPPLANDS-BRO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46043</v>
      </c>
      <c r="E53" s="1" t="n">
        <v>46302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45279</v>
      </c>
      <c r="E54" s="1" t="n">
        <v>46302</v>
      </c>
      <c r="F54" t="inlineStr">
        <is>
          <t>STOCKHOLMS LÄN</t>
        </is>
      </c>
      <c r="G54" t="inlineStr">
        <is>
          <t>UPPLANDS-BRO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23098-2024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45450</v>
      </c>
      <c r="E55" s="1" t="n">
        <v>46302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46302</v>
      </c>
      <c r="F56" t="inlineStr">
        <is>
          <t>STOCKHOLMS LÄN</t>
        </is>
      </c>
      <c r="G56" t="inlineStr">
        <is>
          <t>UPPLANDS-BRO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46302</v>
      </c>
      <c r="F57" t="inlineStr">
        <is>
          <t>STOCKHOLMS LÄN</t>
        </is>
      </c>
      <c r="G57" t="inlineStr">
        <is>
          <t>UPPLANDS-BRO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46302</v>
      </c>
      <c r="F58" t="inlineStr">
        <is>
          <t>STOCKHOLMS LÄN</t>
        </is>
      </c>
      <c r="G58" t="inlineStr">
        <is>
          <t>UPPLANDS-BRO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59377-2024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45638</v>
      </c>
      <c r="E59" s="1" t="n">
        <v>46302</v>
      </c>
      <c r="F59" t="inlineStr">
        <is>
          <t>STOCKHOLMS LÄN</t>
        </is>
      </c>
      <c r="G59" t="inlineStr">
        <is>
          <t>UPPLANDS-BRO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59402-2022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44906</v>
      </c>
      <c r="E60" s="1" t="n">
        <v>46302</v>
      </c>
      <c r="F60" t="inlineStr">
        <is>
          <t>STOCKHOLMS LÄN</t>
        </is>
      </c>
      <c r="G60" t="inlineStr">
        <is>
          <t>UPPLANDS-BRO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44959</v>
      </c>
      <c r="E61" s="1" t="n">
        <v>46302</v>
      </c>
      <c r="F61" t="inlineStr">
        <is>
          <t>STOCKHOLMS LÄN</t>
        </is>
      </c>
      <c r="G61" t="inlineStr">
        <is>
          <t>UPPLANDS-BRO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46226</v>
      </c>
      <c r="E62" s="1" t="n">
        <v>46302</v>
      </c>
      <c r="F62" t="inlineStr">
        <is>
          <t>STOCKHOLMS LÄN</t>
        </is>
      </c>
      <c r="G62" t="inlineStr">
        <is>
          <t>UPPLANDS-BRO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46302</v>
      </c>
      <c r="F63" t="inlineStr">
        <is>
          <t>STOCKHOLMS LÄN</t>
        </is>
      </c>
      <c r="G63" t="inlineStr">
        <is>
          <t>UPPLANDS-BRO</t>
        </is>
      </c>
      <c r="H63" t="inlineStr">
        <is>
          <t>Allmännings- och besparingsskogar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46302</v>
      </c>
      <c r="F64" t="inlineStr">
        <is>
          <t>STOCKHOLMS LÄN</t>
        </is>
      </c>
      <c r="G64" t="inlineStr">
        <is>
          <t>UPPLANDS-BRO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44953</v>
      </c>
      <c r="E65" s="1" t="n">
        <v>46302</v>
      </c>
      <c r="F65" t="inlineStr">
        <is>
          <t>STOCKHOLMS LÄN</t>
        </is>
      </c>
      <c r="G65" t="inlineStr">
        <is>
          <t>UPPLANDS-BRO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59848-2022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44901</v>
      </c>
      <c r="E66" s="1" t="n">
        <v>46302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33058-2026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46245</v>
      </c>
      <c r="E67" s="1" t="n">
        <v>46302</v>
      </c>
      <c r="F67" t="inlineStr">
        <is>
          <t>STOCKHOLMS LÄN</t>
        </is>
      </c>
      <c r="G67" t="inlineStr">
        <is>
          <t>UPPLANDS-BRO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59700-2021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46302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46302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9.6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45279</v>
      </c>
      <c r="E70" s="1" t="n">
        <v>46302</v>
      </c>
      <c r="F70" t="inlineStr">
        <is>
          <t>STOCKHOLMS LÄN</t>
        </is>
      </c>
      <c r="G70" t="inlineStr">
        <is>
          <t>UPPLANDS-BRO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45701</v>
      </c>
      <c r="E71" s="1" t="n">
        <v>46302</v>
      </c>
      <c r="F71" t="inlineStr">
        <is>
          <t>STOCKHOLMS LÄN</t>
        </is>
      </c>
      <c r="G71" t="inlineStr">
        <is>
          <t>UPPLANDS-BRO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46302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46302</v>
      </c>
      <c r="F73" t="inlineStr">
        <is>
          <t>STOCKHOLMS LÄN</t>
        </is>
      </c>
      <c r="G73" t="inlineStr">
        <is>
          <t>UPPLANDS-BRO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46302</v>
      </c>
      <c r="F74" t="inlineStr">
        <is>
          <t>STOCKHOLMS LÄN</t>
        </is>
      </c>
      <c r="G74" t="inlineStr">
        <is>
          <t>UPPLANDS-BRO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>
      <c r="A75" t="inlineStr">
        <is>
          <t>S 10447-2021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44558</v>
      </c>
      <c r="E75" s="1" t="n">
        <v>46302</v>
      </c>
      <c r="F75" t="inlineStr">
        <is>
          <t>STOCKHOLMS LÄN</t>
        </is>
      </c>
      <c r="G75" t="inlineStr">
        <is>
          <t>UPPLANDS-BRO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2026-10-07T02:07:52Z</dcterms:created>
  <dcterms:modified xmlns:dcterms="http://purl.org/dc/terms/" xmlns:xsi="http://www.w3.org/2001/XMLSchema-instance" xsi:type="dcterms:W3CDTF">2026-10-07T02:07:52Z</dcterms:modified>
</cp:coreProperties>
</file>