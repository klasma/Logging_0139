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46317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46317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46317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46317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46317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10909-2025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46317</v>
      </c>
      <c r="F7" t="inlineStr">
        <is>
          <t>STOCKHOLMS LÄN</t>
        </is>
      </c>
      <c r="G7" t="inlineStr">
        <is>
          <t>UPPLANDS-BRO</t>
        </is>
      </c>
      <c r="H7" t="inlineStr">
        <is>
          <t>Allmännings- och besparingsskogar</t>
        </is>
      </c>
      <c r="I7" t="n">
        <v>11.2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Arommusseron
Fläcknycklar</t>
        </is>
      </c>
      <c r="W7">
        <f>HYPERLINK("https://klasma.github.io/Logging_0139/artfynd/A 10909-2025 artfynd.xlsx", "A 10909-2025")</f>
        <v/>
      </c>
      <c r="X7">
        <f>HYPERLINK("https://klasma.github.io/Logging_0139/kartor/A 10909-2025 karta.png", "A 10909-2025")</f>
        <v/>
      </c>
      <c r="Y7">
        <f>HYPERLINK("https://klasma.github.io/Logging_0139/kartor_geotiff/A 10909-2025 georefererad karta.tif", "A 10909-2025")</f>
        <v/>
      </c>
      <c r="AA7">
        <f>HYPERLINK("https://klasma.github.io/Logging_0139/klagomål/A 10909-2025 FSC-klagomål.docx", "A 10909-2025")</f>
        <v/>
      </c>
      <c r="AB7">
        <f>HYPERLINK("https://klasma.github.io/Logging_0139/klagomålsmail/A 10909-2025 FSC-klagomål mail.docx", "A 10909-2025")</f>
        <v/>
      </c>
      <c r="AC7">
        <f>HYPERLINK("https://klasma.github.io/Logging_0139/tillsyn/A 10909-2025 tillsynsbegäran.docx", "A 10909-2025")</f>
        <v/>
      </c>
      <c r="AD7">
        <f>HYPERLINK("https://klasma.github.io/Logging_0139/tillsynsmail/A 10909-2025 tillsynsbegäran mail.docx", "A 10909-2025")</f>
        <v/>
      </c>
    </row>
    <row r="8" ht="15" customHeight="1">
      <c r="A8" t="inlineStr">
        <is>
          <t>A 73773-2021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44552</v>
      </c>
      <c r="E8" s="1" t="n">
        <v>46317</v>
      </c>
      <c r="F8" t="inlineStr">
        <is>
          <t>STOCKHOLMS LÄN</t>
        </is>
      </c>
      <c r="G8" t="inlineStr">
        <is>
          <t>UPPLANDS-BRO</t>
        </is>
      </c>
      <c r="I8" t="n">
        <v>1.9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Kopparödla
Gullviva</t>
        </is>
      </c>
      <c r="W8">
        <f>HYPERLINK("https://klasma.github.io/Logging_0139/artfynd/A 73773-2021 artfynd.xlsx", "A 73773-2021")</f>
        <v/>
      </c>
      <c r="X8">
        <f>HYPERLINK("https://klasma.github.io/Logging_0139/kartor/A 73773-2021 karta.png", "A 73773-2021")</f>
        <v/>
      </c>
      <c r="Y8">
        <f>HYPERLINK("https://klasma.github.io/Logging_0139/kartor_geotiff/A 73773-2021 georefererad karta.tif", "A 73773-2021")</f>
        <v/>
      </c>
      <c r="AA8">
        <f>HYPERLINK("https://klasma.github.io/Logging_0139/klagomål/A 73773-2021 FSC-klagomål.docx", "A 73773-2021")</f>
        <v/>
      </c>
      <c r="AB8">
        <f>HYPERLINK("https://klasma.github.io/Logging_0139/klagomålsmail/A 73773-2021 FSC-klagomål mail.docx", "A 73773-2021")</f>
        <v/>
      </c>
      <c r="AC8">
        <f>HYPERLINK("https://klasma.github.io/Logging_0139/tillsyn/A 73773-2021 tillsynsbegäran.docx", "A 73773-2021")</f>
        <v/>
      </c>
      <c r="AD8">
        <f>HYPERLINK("https://klasma.github.io/Logging_0139/tillsynsmail/A 73773-2021 tillsynsbegäran mail.docx", "A 73773-2021")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46317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46317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2062-2025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45671</v>
      </c>
      <c r="E11" s="1" t="n">
        <v>46317</v>
      </c>
      <c r="F11" t="inlineStr">
        <is>
          <t>STOCKHOLMS LÄN</t>
        </is>
      </c>
      <c r="G11" t="inlineStr">
        <is>
          <t>UPPLANDS-BRO</t>
        </is>
      </c>
      <c r="I11" t="n">
        <v>1.9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Mindre hackspett</t>
        </is>
      </c>
      <c r="W11">
        <f>HYPERLINK("https://klasma.github.io/Logging_0139/artfynd/A 2062-2025 artfynd.xlsx", "A 2062-2025")</f>
        <v/>
      </c>
      <c r="X11">
        <f>HYPERLINK("https://klasma.github.io/Logging_0139/kartor/A 2062-2025 karta.png", "A 2062-2025")</f>
        <v/>
      </c>
      <c r="Y11">
        <f>HYPERLINK("https://klasma.github.io/Logging_0139/kartor_geotiff/A 2062-2025 georefererad karta.tif", "A 2062-2025")</f>
        <v/>
      </c>
      <c r="AA11">
        <f>HYPERLINK("https://klasma.github.io/Logging_0139/klagomål/A 2062-2025 FSC-klagomål.docx", "A 2062-2025")</f>
        <v/>
      </c>
      <c r="AB11">
        <f>HYPERLINK("https://klasma.github.io/Logging_0139/klagomålsmail/A 2062-2025 FSC-klagomål mail.docx", "A 2062-2025")</f>
        <v/>
      </c>
      <c r="AC11">
        <f>HYPERLINK("https://klasma.github.io/Logging_0139/tillsyn/A 2062-2025 tillsynsbegäran.docx", "A 2062-2025")</f>
        <v/>
      </c>
      <c r="AD11">
        <f>HYPERLINK("https://klasma.github.io/Logging_0139/tillsynsmail/A 2062-2025 tillsynsbegäran mail.docx", "A 2062-2025")</f>
        <v/>
      </c>
      <c r="AE11">
        <f>HYPERLINK("https://klasma.github.io/Logging_0139/fåglar/A 2062-2025 prioriterade fågelarter.docx", "A 2062-2025")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46317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45803</v>
      </c>
      <c r="E13" s="1" t="n">
        <v>46317</v>
      </c>
      <c r="F13" t="inlineStr">
        <is>
          <t>STOCKHOLMS LÄN</t>
        </is>
      </c>
      <c r="G13" t="inlineStr">
        <is>
          <t>UPPLANDS-BRO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25561-2025 artfynd.xlsx", "A 25561-2025")</f>
        <v/>
      </c>
      <c r="X13">
        <f>HYPERLINK("https://klasma.github.io/Logging_0139/kartor/A 25561-2025 karta.png", "A 25561-2025")</f>
        <v/>
      </c>
      <c r="Y13">
        <f>HYPERLINK("https://klasma.github.io/Logging_0139/kartor_geotiff/A 25561-2025 georefererad karta.tif", "A 25561-2025")</f>
        <v/>
      </c>
      <c r="AA13">
        <f>HYPERLINK("https://klasma.github.io/Logging_0139/klagomål/A 25561-2025 FSC-klagomål.docx", "A 25561-2025")</f>
        <v/>
      </c>
      <c r="AB13">
        <f>HYPERLINK("https://klasma.github.io/Logging_0139/klagomålsmail/A 25561-2025 FSC-klagomål mail.docx", "A 25561-2025")</f>
        <v/>
      </c>
      <c r="AC13">
        <f>HYPERLINK("https://klasma.github.io/Logging_0139/tillsyn/A 25561-2025 tillsynsbegäran.docx", "A 25561-2025")</f>
        <v/>
      </c>
      <c r="AD13">
        <f>HYPERLINK("https://klasma.github.io/Logging_0139/tillsynsmail/A 25561-2025 tillsynsbegäran mail.docx", "A 25561-2025")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46317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46317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46317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46317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46317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26196-2026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46182</v>
      </c>
      <c r="E19" s="1" t="n">
        <v>46317</v>
      </c>
      <c r="F19" t="inlineStr">
        <is>
          <t>STOCKHOLMS LÄN</t>
        </is>
      </c>
      <c r="G19" t="inlineStr">
        <is>
          <t>UPPLANDS-BRO</t>
        </is>
      </c>
      <c r="I19" t="n">
        <v>53.1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Liljekonvalj</t>
        </is>
      </c>
      <c r="W19">
        <f>HYPERLINK("https://klasma.github.io/Logging_0139/artfynd/A 26196-2026 artfynd.xlsx", "A 26196-2026")</f>
        <v/>
      </c>
      <c r="X19">
        <f>HYPERLINK("https://klasma.github.io/Logging_0139/kartor/A 26196-2026 karta.png", "A 26196-2026")</f>
        <v/>
      </c>
      <c r="Y19">
        <f>HYPERLINK("https://klasma.github.io/Logging_0139/kartor_geotiff/A 26196-2026 georefererad karta.tif", "A 26196-2026")</f>
        <v/>
      </c>
      <c r="AA19">
        <f>HYPERLINK("https://klasma.github.io/Logging_0139/klagomål/A 26196-2026 FSC-klagomål.docx", "A 26196-2026")</f>
        <v/>
      </c>
      <c r="AB19">
        <f>HYPERLINK("https://klasma.github.io/Logging_0139/klagomålsmail/A 26196-2026 FSC-klagomål mail.docx", "A 26196-2026")</f>
        <v/>
      </c>
      <c r="AC19">
        <f>HYPERLINK("https://klasma.github.io/Logging_0139/tillsyn/A 26196-2026 tillsynsbegäran.docx", "A 26196-2026")</f>
        <v/>
      </c>
      <c r="AD19">
        <f>HYPERLINK("https://klasma.github.io/Logging_0139/tillsynsmail/A 26196-2026 tillsynsbegäran mail.docx", "A 26196-2026")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46317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46317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HYPERLINK("https://klasma.github.io/Logging_0139/artfynd/A 26637-2026 artfynd.xlsx", "A 26637-2026")</f>
        <v/>
      </c>
      <c r="X21">
        <f>HYPERLINK("https://klasma.github.io/Logging_0139/kartor/A 26637-2026 karta.png", "A 26637-2026")</f>
        <v/>
      </c>
      <c r="Y21">
        <f>HYPERLINK("https://klasma.github.io/Logging_0139/kartor_geotiff/A 26637-2026 georefererad karta.tif", "A 26637-2026")</f>
        <v/>
      </c>
      <c r="AA21">
        <f>HYPERLINK("https://klasma.github.io/Logging_0139/klagomål/A 26637-2026 FSC-klagomål.docx", "A 26637-2026")</f>
        <v/>
      </c>
      <c r="AB21">
        <f>HYPERLINK("https://klasma.github.io/Logging_0139/klagomålsmail/A 26637-2026 FSC-klagomål mail.docx", "A 26637-2026")</f>
        <v/>
      </c>
      <c r="AC21">
        <f>HYPERLINK("https://klasma.github.io/Logging_0139/tillsyn/A 26637-2026 tillsynsbegäran.docx", "A 26637-2026")</f>
        <v/>
      </c>
      <c r="AD21">
        <f>HYPERLINK("https://klasma.github.io/Logging_0139/tillsynsmail/A 26637-2026 tillsynsbegäran mail.docx", "A 26637-2026")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46317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46317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46317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72523-2021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44546</v>
      </c>
      <c r="E25" s="1" t="n">
        <v>46317</v>
      </c>
      <c r="F25" t="inlineStr">
        <is>
          <t>STOCKHOLMS LÄN</t>
        </is>
      </c>
      <c r="G25" t="inlineStr">
        <is>
          <t>UPPLANDS-BRO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20604-2022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44700</v>
      </c>
      <c r="E26" s="1" t="n">
        <v>46317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44587</v>
      </c>
      <c r="E27" s="1" t="n">
        <v>46317</v>
      </c>
      <c r="F27" t="inlineStr">
        <is>
          <t>STOCKHOLMS LÄN</t>
        </is>
      </c>
      <c r="G27" t="inlineStr">
        <is>
          <t>UPPLANDS-BRO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14719-2022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46317</v>
      </c>
      <c r="F28" t="inlineStr">
        <is>
          <t>STOCKHOLMS LÄN</t>
        </is>
      </c>
      <c r="G28" t="inlineStr">
        <is>
          <t>UPPLANDS-BRO</t>
        </is>
      </c>
      <c r="H28" t="inlineStr">
        <is>
          <t>Allmännings- och besparingsskogar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23615-2025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45792</v>
      </c>
      <c r="E29" s="1" t="n">
        <v>46317</v>
      </c>
      <c r="F29" t="inlineStr">
        <is>
          <t>STOCKHOLMS LÄN</t>
        </is>
      </c>
      <c r="G29" t="inlineStr">
        <is>
          <t>UPPLANDS-BRO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23627-2025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45792</v>
      </c>
      <c r="E30" s="1" t="n">
        <v>46317</v>
      </c>
      <c r="F30" t="inlineStr">
        <is>
          <t>STOCKHOLMS LÄN</t>
        </is>
      </c>
      <c r="G30" t="inlineStr">
        <is>
          <t>UPPLANDS-BRO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46317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46317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46317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5264-2023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44959</v>
      </c>
      <c r="E34" s="1" t="n">
        <v>46317</v>
      </c>
      <c r="F34" t="inlineStr">
        <is>
          <t>STOCKHOLMS LÄN</t>
        </is>
      </c>
      <c r="G34" t="inlineStr">
        <is>
          <t>UPPLANDS-BRO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9655-2026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46317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17.2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46317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46317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45225</v>
      </c>
      <c r="E38" s="1" t="n">
        <v>46317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18787-2026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46317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7.8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18813-2026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46128</v>
      </c>
      <c r="E40" s="1" t="n">
        <v>46317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56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18818-2026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46317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17.8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44953</v>
      </c>
      <c r="E42" s="1" t="n">
        <v>46317</v>
      </c>
      <c r="F42" t="inlineStr">
        <is>
          <t>STOCKHOLMS LÄN</t>
        </is>
      </c>
      <c r="G42" t="inlineStr">
        <is>
          <t>UPPLANDS-BRO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46317</v>
      </c>
      <c r="F43" t="inlineStr">
        <is>
          <t>STOCKHOLMS LÄN</t>
        </is>
      </c>
      <c r="G43" t="inlineStr">
        <is>
          <t>UPPLANDS-BRO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46317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45279</v>
      </c>
      <c r="E45" s="1" t="n">
        <v>46317</v>
      </c>
      <c r="F45" t="inlineStr">
        <is>
          <t>STOCKHOLMS LÄN</t>
        </is>
      </c>
      <c r="G45" t="inlineStr">
        <is>
          <t>UPPLANDS-BRO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46317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46317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59377-2024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45638</v>
      </c>
      <c r="E48" s="1" t="n">
        <v>46317</v>
      </c>
      <c r="F48" t="inlineStr">
        <is>
          <t>STOCKHOLMS LÄN</t>
        </is>
      </c>
      <c r="G48" t="inlineStr">
        <is>
          <t>UPPLANDS-BRO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21206-2026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46146</v>
      </c>
      <c r="E49" s="1" t="n">
        <v>46317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51587-2023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45215</v>
      </c>
      <c r="E50" s="1" t="n">
        <v>46317</v>
      </c>
      <c r="F50" t="inlineStr">
        <is>
          <t>STOCKHOLMS LÄN</t>
        </is>
      </c>
      <c r="G50" t="inlineStr">
        <is>
          <t>UPPLANDS-BRO</t>
        </is>
      </c>
      <c r="H50" t="inlineStr">
        <is>
          <t>Allmännings- och besparingsskogar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24579-2026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46170</v>
      </c>
      <c r="E51" s="1" t="n">
        <v>46317</v>
      </c>
      <c r="F51" t="inlineStr">
        <is>
          <t>STOCKHOLMS LÄN</t>
        </is>
      </c>
      <c r="G51" t="inlineStr">
        <is>
          <t>UPPLANDS-BRO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58598-2025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45986</v>
      </c>
      <c r="E52" s="1" t="n">
        <v>46317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44770</v>
      </c>
      <c r="E53" s="1" t="n">
        <v>46317</v>
      </c>
      <c r="F53" t="inlineStr">
        <is>
          <t>STOCKHOLMS LÄN</t>
        </is>
      </c>
      <c r="G53" t="inlineStr">
        <is>
          <t>UPPLANDS-BRO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44901</v>
      </c>
      <c r="E54" s="1" t="n">
        <v>46317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10.7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46317</v>
      </c>
      <c r="F55" t="inlineStr">
        <is>
          <t>STOCKHOLMS LÄN</t>
        </is>
      </c>
      <c r="G55" t="inlineStr">
        <is>
          <t>UPPLANDS-BRO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64110-2023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45279</v>
      </c>
      <c r="E56" s="1" t="n">
        <v>46317</v>
      </c>
      <c r="F56" t="inlineStr">
        <is>
          <t>STOCKHOLMS LÄN</t>
        </is>
      </c>
      <c r="G56" t="inlineStr">
        <is>
          <t>UPPLANDS-BRO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46043</v>
      </c>
      <c r="E57" s="1" t="n">
        <v>46317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28797-2026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46317</v>
      </c>
      <c r="F58" t="inlineStr">
        <is>
          <t>STOCKHOLMS LÄN</t>
        </is>
      </c>
      <c r="G58" t="inlineStr">
        <is>
          <t>UPPLANDS-BRO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46317</v>
      </c>
      <c r="F59" t="inlineStr">
        <is>
          <t>STOCKHOLMS LÄN</t>
        </is>
      </c>
      <c r="G59" t="inlineStr">
        <is>
          <t>UPPLANDS-BRO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46317</v>
      </c>
      <c r="F60" t="inlineStr">
        <is>
          <t>STOCKHOLMS LÄN</t>
        </is>
      </c>
      <c r="G60" t="inlineStr">
        <is>
          <t>UPPLANDS-BRO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46317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9.6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46317</v>
      </c>
      <c r="F62" t="inlineStr">
        <is>
          <t>STOCKHOLMS LÄN</t>
        </is>
      </c>
      <c r="G62" t="inlineStr">
        <is>
          <t>UPPLANDS-BRO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44906</v>
      </c>
      <c r="E63" s="1" t="n">
        <v>46317</v>
      </c>
      <c r="F63" t="inlineStr">
        <is>
          <t>STOCKHOLMS LÄN</t>
        </is>
      </c>
      <c r="G63" t="inlineStr">
        <is>
          <t>UPPLANDS-BRO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46226</v>
      </c>
      <c r="E64" s="1" t="n">
        <v>46317</v>
      </c>
      <c r="F64" t="inlineStr">
        <is>
          <t>STOCKHOLMS LÄN</t>
        </is>
      </c>
      <c r="G64" t="inlineStr">
        <is>
          <t>UPPLANDS-BRO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3630-2023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44950</v>
      </c>
      <c r="E65" s="1" t="n">
        <v>46317</v>
      </c>
      <c r="F65" t="inlineStr">
        <is>
          <t>STOCKHOLMS LÄN</t>
        </is>
      </c>
      <c r="G65" t="inlineStr">
        <is>
          <t>UPPLANDS-BRO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7860-2024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45348</v>
      </c>
      <c r="E66" s="1" t="n">
        <v>46317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64105-2023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46317</v>
      </c>
      <c r="F67" t="inlineStr">
        <is>
          <t>STOCKHOLMS LÄN</t>
        </is>
      </c>
      <c r="G67" t="inlineStr">
        <is>
          <t>UPPLANDS-BRO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33058-2026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46245</v>
      </c>
      <c r="E68" s="1" t="n">
        <v>46317</v>
      </c>
      <c r="F68" t="inlineStr">
        <is>
          <t>STOCKHOLMS LÄN</t>
        </is>
      </c>
      <c r="G68" t="inlineStr">
        <is>
          <t>UPPLANDS-BRO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64114-2023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46317</v>
      </c>
      <c r="F69" t="inlineStr">
        <is>
          <t>STOCKHOLMS LÄN</t>
        </is>
      </c>
      <c r="G69" t="inlineStr">
        <is>
          <t>UPPLANDS-BRO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45701</v>
      </c>
      <c r="E70" s="1" t="n">
        <v>46317</v>
      </c>
      <c r="F70" t="inlineStr">
        <is>
          <t>STOCKHOLMS LÄN</t>
        </is>
      </c>
      <c r="G70" t="inlineStr">
        <is>
          <t>UPPLANDS-BRO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46317</v>
      </c>
      <c r="F71" t="inlineStr">
        <is>
          <t>STOCKHOLMS LÄN</t>
        </is>
      </c>
      <c r="G71" t="inlineStr">
        <is>
          <t>UPPLANDS-BRO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10447-2021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44558</v>
      </c>
      <c r="E72" s="1" t="n">
        <v>46317</v>
      </c>
      <c r="F72" t="inlineStr">
        <is>
          <t>STOCKHOLMS LÄN</t>
        </is>
      </c>
      <c r="G72" t="inlineStr">
        <is>
          <t>UPPLANDS-BRO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2026-10-22T01:53:49Z</dcterms:created>
  <dcterms:modified xmlns:dcterms="http://purl.org/dc/terms/" xmlns:xsi="http://www.w3.org/2001/XMLSchema-instance" xsi:type="dcterms:W3CDTF">2026-10-22T01:53:49Z</dcterms:modified>
</cp:coreProperties>
</file>