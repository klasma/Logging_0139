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46306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18772-2026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46306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19.5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Svedjenäva
Fläcknycklar</t>
        </is>
      </c>
      <c r="W8">
        <f>HYPERLINK("https://klasma.github.io/Logging_0139/artfynd/A 18772-2026 artfynd.xlsx", "A 18772-2026")</f>
        <v/>
      </c>
      <c r="X8">
        <f>HYPERLINK("https://klasma.github.io/Logging_0139/kartor/A 18772-2026 karta.png", "A 18772-2026")</f>
        <v/>
      </c>
      <c r="Y8">
        <f>HYPERLINK("https://klasma.github.io/Logging_0139/kartor_geotiff/A 18772-2026 georefererad karta.tif", "A 18772-2026")</f>
        <v/>
      </c>
      <c r="AA8">
        <f>HYPERLINK("https://klasma.github.io/Logging_0139/klagomål/A 18772-2026 FSC-klagomål.docx", "A 18772-2026")</f>
        <v/>
      </c>
      <c r="AB8">
        <f>HYPERLINK("https://klasma.github.io/Logging_0139/klagomålsmail/A 18772-2026 FSC-klagomål mail.docx", "A 18772-2026")</f>
        <v/>
      </c>
      <c r="AC8">
        <f>HYPERLINK("https://klasma.github.io/Logging_0139/tillsyn/A 18772-2026 tillsynsbegäran.docx", "A 18772-2026")</f>
        <v/>
      </c>
      <c r="AD8">
        <f>HYPERLINK("https://klasma.github.io/Logging_0139/tillsynsmail/A 18772-2026 tillsynsbegäran mail.docx", "A 18772-2026")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46306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46306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46306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45279</v>
      </c>
      <c r="E12" s="1" t="n">
        <v>46306</v>
      </c>
      <c r="F12" t="inlineStr">
        <is>
          <t>STOCKHOLMS LÄN</t>
        </is>
      </c>
      <c r="G12" t="inlineStr">
        <is>
          <t>UPPLANDS-BRO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Skogsalmsdvärgmal</t>
        </is>
      </c>
      <c r="W12">
        <f>HYPERLINK("https://klasma.github.io/Logging_0139/artfynd/A 64098-2023 artfynd.xlsx", "A 64098-2023")</f>
        <v/>
      </c>
      <c r="X12">
        <f>HYPERLINK("https://klasma.github.io/Logging_0139/kartor/A 64098-2023 karta.png", "A 64098-2023")</f>
        <v/>
      </c>
      <c r="Y12">
        <f>HYPERLINK("https://klasma.github.io/Logging_0139/kartor_geotiff/A 64098-2023 georefererad karta.tif", "A 64098-2023")</f>
        <v/>
      </c>
      <c r="AA12">
        <f>HYPERLINK("https://klasma.github.io/Logging_0139/klagomål/A 64098-2023 FSC-klagomål.docx", "A 64098-2023")</f>
        <v/>
      </c>
      <c r="AB12">
        <f>HYPERLINK("https://klasma.github.io/Logging_0139/klagomålsmail/A 64098-2023 FSC-klagomål mail.docx", "A 64098-2023")</f>
        <v/>
      </c>
      <c r="AC12">
        <f>HYPERLINK("https://klasma.github.io/Logging_0139/tillsyn/A 64098-2023 tillsynsbegäran.docx", "A 64098-2023")</f>
        <v/>
      </c>
      <c r="AD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46306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46306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46306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46306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25561-2025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45803</v>
      </c>
      <c r="E17" s="1" t="n">
        <v>46306</v>
      </c>
      <c r="F17" t="inlineStr">
        <is>
          <t>STOCKHOLMS LÄN</t>
        </is>
      </c>
      <c r="G17" t="inlineStr">
        <is>
          <t>UPPLANDS-BRO</t>
        </is>
      </c>
      <c r="I17" t="n">
        <v>1.6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25561-2025 artfynd.xlsx", "A 25561-2025")</f>
        <v/>
      </c>
      <c r="X17">
        <f>HYPERLINK("https://klasma.github.io/Logging_0139/kartor/A 25561-2025 karta.png", "A 25561-2025")</f>
        <v/>
      </c>
      <c r="Y17">
        <f>HYPERLINK("https://klasma.github.io/Logging_0139/kartor_geotiff/A 25561-2025 georefererad karta.tif", "A 25561-2025")</f>
        <v/>
      </c>
      <c r="AA17">
        <f>HYPERLINK("https://klasma.github.io/Logging_0139/klagomål/A 25561-2025 FSC-klagomål.docx", "A 25561-2025")</f>
        <v/>
      </c>
      <c r="AB17">
        <f>HYPERLINK("https://klasma.github.io/Logging_0139/klagomålsmail/A 25561-2025 FSC-klagomål mail.docx", "A 25561-2025")</f>
        <v/>
      </c>
      <c r="AC17">
        <f>HYPERLINK("https://klasma.github.io/Logging_0139/tillsyn/A 25561-2025 tillsynsbegäran.docx", "A 25561-2025")</f>
        <v/>
      </c>
      <c r="AD17">
        <f>HYPERLINK("https://klasma.github.io/Logging_0139/tillsynsmail/A 25561-2025 tillsynsbegäran mail.docx", "A 25561-2025")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46306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46306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46306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26196-2026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46182</v>
      </c>
      <c r="E21" s="1" t="n">
        <v>46306</v>
      </c>
      <c r="F21" t="inlineStr">
        <is>
          <t>STOCKHOLMS LÄN</t>
        </is>
      </c>
      <c r="G21" t="inlineStr">
        <is>
          <t>UPPLANDS-BRO</t>
        </is>
      </c>
      <c r="I21" t="n">
        <v>53.1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Liljekonvalj</t>
        </is>
      </c>
      <c r="W21">
        <f>HYPERLINK("https://klasma.github.io/Logging_0139/artfynd/A 26196-2026 artfynd.xlsx", "A 26196-2026")</f>
        <v/>
      </c>
      <c r="X21">
        <f>HYPERLINK("https://klasma.github.io/Logging_0139/kartor/A 26196-2026 karta.png", "A 26196-2026")</f>
        <v/>
      </c>
      <c r="Y21">
        <f>HYPERLINK("https://klasma.github.io/Logging_0139/kartor_geotiff/A 26196-2026 georefererad karta.tif", "A 26196-2026")</f>
        <v/>
      </c>
      <c r="AA21">
        <f>HYPERLINK("https://klasma.github.io/Logging_0139/klagomål/A 26196-2026 FSC-klagomål.docx", "A 26196-2026")</f>
        <v/>
      </c>
      <c r="AB21">
        <f>HYPERLINK("https://klasma.github.io/Logging_0139/klagomålsmail/A 26196-2026 FSC-klagomål mail.docx", "A 26196-2026")</f>
        <v/>
      </c>
      <c r="AC21">
        <f>HYPERLINK("https://klasma.github.io/Logging_0139/tillsyn/A 26196-2026 tillsynsbegäran.docx", "A 26196-2026")</f>
        <v/>
      </c>
      <c r="AD21">
        <f>HYPERLINK("https://klasma.github.io/Logging_0139/tillsynsmail/A 26196-2026 tillsynsbegäran mail.docx", "A 26196-2026")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46306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26623-2026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46306</v>
      </c>
      <c r="F23" t="inlineStr">
        <is>
          <t>STOCKHOLMS LÄN</t>
        </is>
      </c>
      <c r="G23" t="inlineStr">
        <is>
          <t>UPPLANDS-BRO</t>
        </is>
      </c>
      <c r="I23" t="n">
        <v>4.6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Svartöra</t>
        </is>
      </c>
      <c r="W23">
        <f>HYPERLINK("https://klasma.github.io/Logging_0139/artfynd/A 26623-2026 artfynd.xlsx", "A 26623-2026")</f>
        <v/>
      </c>
      <c r="X23">
        <f>HYPERLINK("https://klasma.github.io/Logging_0139/kartor/A 26623-2026 karta.png", "A 26623-2026")</f>
        <v/>
      </c>
      <c r="Y23">
        <f>HYPERLINK("https://klasma.github.io/Logging_0139/kartor_geotiff/A 26623-2026 georefererad karta.tif", "A 26623-2026")</f>
        <v/>
      </c>
      <c r="AA23">
        <f>HYPERLINK("https://klasma.github.io/Logging_0139/klagomål/A 26623-2026 FSC-klagomål.docx", "A 26623-2026")</f>
        <v/>
      </c>
      <c r="AB23">
        <f>HYPERLINK("https://klasma.github.io/Logging_0139/klagomålsmail/A 26623-2026 FSC-klagomål mail.docx", "A 26623-2026")</f>
        <v/>
      </c>
      <c r="AC23">
        <f>HYPERLINK("https://klasma.github.io/Logging_0139/tillsyn/A 26623-2026 tillsynsbegäran.docx", "A 26623-2026")</f>
        <v/>
      </c>
      <c r="AD23">
        <f>HYPERLINK("https://klasma.github.io/Logging_0139/tillsynsmail/A 26623-2026 tillsynsbegäran mail.docx", "A 26623-2026")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46306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46306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46306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45225</v>
      </c>
      <c r="E31" s="1" t="n">
        <v>46306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46306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44953</v>
      </c>
      <c r="E33" s="1" t="n">
        <v>46306</v>
      </c>
      <c r="F33" t="inlineStr">
        <is>
          <t>STOCKHOLMS LÄN</t>
        </is>
      </c>
      <c r="G33" t="inlineStr">
        <is>
          <t>UPPLANDS-BRO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58011-2021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46306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72524-2021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46306</v>
      </c>
      <c r="F35" t="inlineStr">
        <is>
          <t>STOCKHOLMS LÄN</t>
        </is>
      </c>
      <c r="G35" t="inlineStr">
        <is>
          <t>UPPLANDS-BRO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64114-2023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46306</v>
      </c>
      <c r="F36" t="inlineStr">
        <is>
          <t>STOCKHOLMS LÄN</t>
        </is>
      </c>
      <c r="G36" t="inlineStr">
        <is>
          <t>UPPLANDS-BRO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46306</v>
      </c>
      <c r="F37" t="inlineStr">
        <is>
          <t>STOCKHOLMS LÄN</t>
        </is>
      </c>
      <c r="G37" t="inlineStr">
        <is>
          <t>UPPLANDS-BRO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46306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46306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46306</v>
      </c>
      <c r="F40" t="inlineStr">
        <is>
          <t>STOCKHOLMS LÄN</t>
        </is>
      </c>
      <c r="G40" t="inlineStr">
        <is>
          <t>UPPLANDS-BRO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46306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46306</v>
      </c>
      <c r="F42" t="inlineStr">
        <is>
          <t>STOCKHOLMS LÄN</t>
        </is>
      </c>
      <c r="G42" t="inlineStr">
        <is>
          <t>UPPLANDS-BRO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38902-2024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46306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46306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46306</v>
      </c>
      <c r="F45" t="inlineStr">
        <is>
          <t>STOCKHOLMS LÄN</t>
        </is>
      </c>
      <c r="G45" t="inlineStr">
        <is>
          <t>UPPLANDS-BRO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46306</v>
      </c>
      <c r="F46" t="inlineStr">
        <is>
          <t>STOCKHOLMS LÄN</t>
        </is>
      </c>
      <c r="G46" t="inlineStr">
        <is>
          <t>UPPLANDS-BRO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46306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46306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46306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46306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46306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46306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46306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46306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46306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46306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46306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46306</v>
      </c>
      <c r="F60" t="inlineStr">
        <is>
          <t>STOCKHOLMS LÄN</t>
        </is>
      </c>
      <c r="G60" t="inlineStr">
        <is>
          <t>UPPLANDS-BRO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46306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46306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46306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46306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46306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44770</v>
      </c>
      <c r="E66" s="1" t="n">
        <v>46306</v>
      </c>
      <c r="F66" t="inlineStr">
        <is>
          <t>STOCKHOLMS LÄN</t>
        </is>
      </c>
      <c r="G66" t="inlineStr">
        <is>
          <t>UPPLANDS-BRO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46306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46306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46306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46198</v>
      </c>
      <c r="E70" s="1" t="n">
        <v>46306</v>
      </c>
      <c r="F70" t="inlineStr">
        <is>
          <t>STOCKHOLMS LÄN</t>
        </is>
      </c>
      <c r="G70" t="inlineStr">
        <is>
          <t>UPPLANDS-BRO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46306</v>
      </c>
      <c r="F71" t="inlineStr">
        <is>
          <t>STOCKHOLMS LÄN</t>
        </is>
      </c>
      <c r="G71" t="inlineStr">
        <is>
          <t>UPPLANDS-BRO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46226</v>
      </c>
      <c r="E72" s="1" t="n">
        <v>46306</v>
      </c>
      <c r="F72" t="inlineStr">
        <is>
          <t>STOCKHOLMS LÄN</t>
        </is>
      </c>
      <c r="G72" t="inlineStr">
        <is>
          <t>UPPLANDS-BRO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33058-2026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46245</v>
      </c>
      <c r="E73" s="1" t="n">
        <v>46306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46306</v>
      </c>
      <c r="F74" t="inlineStr">
        <is>
          <t>STOCKHOLMS LÄN</t>
        </is>
      </c>
      <c r="G74" t="inlineStr">
        <is>
          <t>UPPLANDS-BRO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46306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