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46315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46315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46315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73773-2021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44552</v>
      </c>
      <c r="E5" s="1" t="n">
        <v>46315</v>
      </c>
      <c r="F5" t="inlineStr">
        <is>
          <t>STOCKHOLMS LÄN</t>
        </is>
      </c>
      <c r="G5" t="inlineStr">
        <is>
          <t>UPPLANDS-BRO</t>
        </is>
      </c>
      <c r="I5" t="n">
        <v>1.9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Kopparödla
Gullviva</t>
        </is>
      </c>
      <c r="W5">
        <f>HYPERLINK("https://klasma.github.io/Logging_0139/artfynd/A 73773-2021 artfynd.xlsx", "A 73773-2021")</f>
        <v/>
      </c>
      <c r="X5">
        <f>HYPERLINK("https://klasma.github.io/Logging_0139/kartor/A 73773-2021 karta.png", "A 73773-2021")</f>
        <v/>
      </c>
      <c r="Y5">
        <f>HYPERLINK("https://klasma.github.io/Logging_0139/kartor_geotiff/A 73773-2021 georefererad karta.tif", "A 73773-2021")</f>
        <v/>
      </c>
      <c r="AA5">
        <f>HYPERLINK("https://klasma.github.io/Logging_0139/klagomål/A 73773-2021 FSC-klagomål.docx", "A 73773-2021")</f>
        <v/>
      </c>
      <c r="AB5">
        <f>HYPERLINK("https://klasma.github.io/Logging_0139/klagomålsmail/A 73773-2021 FSC-klagomål mail.docx", "A 73773-2021")</f>
        <v/>
      </c>
      <c r="AC5">
        <f>HYPERLINK("https://klasma.github.io/Logging_0139/tillsyn/A 73773-2021 tillsynsbegäran.docx", "A 73773-2021")</f>
        <v/>
      </c>
      <c r="AD5">
        <f>HYPERLINK("https://klasma.github.io/Logging_0139/tillsynsmail/A 73773-2021 tillsynsbegäran mail.docx", "A 73773-2021")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46315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46315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46315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46315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46315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46315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46315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46315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46315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46315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46315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Skogsalmsdvärgmal</t>
        </is>
      </c>
      <c r="W16">
        <f>HYPERLINK("https://klasma.github.io/Logging_0139/artfynd/A 64098-2023 artfynd.xlsx", "A 64098-2023")</f>
        <v/>
      </c>
      <c r="X16">
        <f>HYPERLINK("https://klasma.github.io/Logging_0139/kartor/A 64098-2023 karta.png", "A 64098-2023")</f>
        <v/>
      </c>
      <c r="Y16">
        <f>HYPERLINK("https://klasma.github.io/Logging_0139/kartor_geotiff/A 64098-2023 georefererad karta.tif", "A 64098-2023")</f>
        <v/>
      </c>
      <c r="AA16">
        <f>HYPERLINK("https://klasma.github.io/Logging_0139/klagomål/A 64098-2023 FSC-klagomål.docx", "A 64098-2023")</f>
        <v/>
      </c>
      <c r="AB16">
        <f>HYPERLINK("https://klasma.github.io/Logging_0139/klagomålsmail/A 64098-2023 FSC-klagomål mail.docx", "A 64098-2023")</f>
        <v/>
      </c>
      <c r="AC16">
        <f>HYPERLINK("https://klasma.github.io/Logging_0139/tillsyn/A 64098-2023 tillsynsbegäran.docx", "A 64098-2023")</f>
        <v/>
      </c>
      <c r="AD16">
        <f>HYPERLINK("https://klasma.github.io/Logging_0139/tillsynsmail/A 64098-2023 tillsynsbegäran mail.docx", "A 64098-2023")</f>
        <v/>
      </c>
    </row>
    <row r="17" ht="15" customHeight="1">
      <c r="A17" t="inlineStr">
        <is>
          <t>A 26196-2026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46182</v>
      </c>
      <c r="E17" s="1" t="n">
        <v>46315</v>
      </c>
      <c r="F17" t="inlineStr">
        <is>
          <t>STOCKHOLMS LÄN</t>
        </is>
      </c>
      <c r="G17" t="inlineStr">
        <is>
          <t>UPPLANDS-BRO</t>
        </is>
      </c>
      <c r="I17" t="n">
        <v>53.1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Liljekonvalj</t>
        </is>
      </c>
      <c r="W17">
        <f>HYPERLINK("https://klasma.github.io/Logging_0139/artfynd/A 26196-2026 artfynd.xlsx", "A 26196-2026")</f>
        <v/>
      </c>
      <c r="X17">
        <f>HYPERLINK("https://klasma.github.io/Logging_0139/kartor/A 26196-2026 karta.png", "A 26196-2026")</f>
        <v/>
      </c>
      <c r="Y17">
        <f>HYPERLINK("https://klasma.github.io/Logging_0139/kartor_geotiff/A 26196-2026 georefererad karta.tif", "A 26196-2026")</f>
        <v/>
      </c>
      <c r="AA17">
        <f>HYPERLINK("https://klasma.github.io/Logging_0139/klagomål/A 26196-2026 FSC-klagomål.docx", "A 26196-2026")</f>
        <v/>
      </c>
      <c r="AB17">
        <f>HYPERLINK("https://klasma.github.io/Logging_0139/klagomålsmail/A 26196-2026 FSC-klagomål mail.docx", "A 26196-2026")</f>
        <v/>
      </c>
      <c r="AC17">
        <f>HYPERLINK("https://klasma.github.io/Logging_0139/tillsyn/A 26196-2026 tillsynsbegäran.docx", "A 26196-2026")</f>
        <v/>
      </c>
      <c r="AD17">
        <f>HYPERLINK("https://klasma.github.io/Logging_0139/tillsynsmail/A 26196-2026 tillsynsbegäran mail.docx", "A 26196-2026")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46315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46315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2062-2025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46315</v>
      </c>
      <c r="F20" t="inlineStr">
        <is>
          <t>STOCKHOLMS LÄN</t>
        </is>
      </c>
      <c r="G20" t="inlineStr">
        <is>
          <t>UPPLANDS-BRO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Mindre hackspett</t>
        </is>
      </c>
      <c r="W20">
        <f>HYPERLINK("https://klasma.github.io/Logging_0139/artfynd/A 2062-2025 artfynd.xlsx", "A 2062-2025")</f>
        <v/>
      </c>
      <c r="X20">
        <f>HYPERLINK("https://klasma.github.io/Logging_0139/kartor/A 2062-2025 karta.png", "A 2062-2025")</f>
        <v/>
      </c>
      <c r="Y20">
        <f>HYPERLINK("https://klasma.github.io/Logging_0139/kartor_geotiff/A 2062-2025 georefererad karta.tif", "A 2062-2025")</f>
        <v/>
      </c>
      <c r="AA20">
        <f>HYPERLINK("https://klasma.github.io/Logging_0139/klagomål/A 2062-2025 FSC-klagomål.docx", "A 2062-2025")</f>
        <v/>
      </c>
      <c r="AB20">
        <f>HYPERLINK("https://klasma.github.io/Logging_0139/klagomålsmail/A 2062-2025 FSC-klagomål mail.docx", "A 2062-2025")</f>
        <v/>
      </c>
      <c r="AC20">
        <f>HYPERLINK("https://klasma.github.io/Logging_0139/tillsyn/A 2062-2025 tillsynsbegäran.docx", "A 2062-2025")</f>
        <v/>
      </c>
      <c r="AD20">
        <f>HYPERLINK("https://klasma.github.io/Logging_0139/tillsynsmail/A 2062-2025 tillsynsbegäran mail.docx", "A 2062-2025")</f>
        <v/>
      </c>
      <c r="AE20">
        <f>HYPERLINK("https://klasma.github.io/Logging_0139/fåglar/A 2062-2025 prioriterade fågelarter.docx", "A 2062-2025")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46315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25561-2025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45803</v>
      </c>
      <c r="E22" s="1" t="n">
        <v>46315</v>
      </c>
      <c r="F22" t="inlineStr">
        <is>
          <t>STOCKHOLMS LÄN</t>
        </is>
      </c>
      <c r="G22" t="inlineStr">
        <is>
          <t>UPPLANDS-BRO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HYPERLINK("https://klasma.github.io/Logging_0139/artfynd/A 25561-2025 artfynd.xlsx", "A 25561-2025")</f>
        <v/>
      </c>
      <c r="X22">
        <f>HYPERLINK("https://klasma.github.io/Logging_0139/kartor/A 25561-2025 karta.png", "A 25561-2025")</f>
        <v/>
      </c>
      <c r="Y22">
        <f>HYPERLINK("https://klasma.github.io/Logging_0139/kartor_geotiff/A 25561-2025 georefererad karta.tif", "A 25561-2025")</f>
        <v/>
      </c>
      <c r="AA22">
        <f>HYPERLINK("https://klasma.github.io/Logging_0139/klagomål/A 25561-2025 FSC-klagomål.docx", "A 25561-2025")</f>
        <v/>
      </c>
      <c r="AB22">
        <f>HYPERLINK("https://klasma.github.io/Logging_0139/klagomålsmail/A 25561-2025 FSC-klagomål mail.docx", "A 25561-2025")</f>
        <v/>
      </c>
      <c r="AC22">
        <f>HYPERLINK("https://klasma.github.io/Logging_0139/tillsyn/A 25561-2025 tillsynsbegäran.docx", "A 25561-2025")</f>
        <v/>
      </c>
      <c r="AD22">
        <f>HYPERLINK("https://klasma.github.io/Logging_0139/tillsynsmail/A 25561-2025 tillsynsbegäran mail.docx", "A 25561-2025")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46315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46315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46315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46315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46315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46315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46315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59700-2021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44494</v>
      </c>
      <c r="E30" s="1" t="n">
        <v>46315</v>
      </c>
      <c r="F30" t="inlineStr">
        <is>
          <t>STOCKHOLMS LÄN</t>
        </is>
      </c>
      <c r="G30" t="inlineStr">
        <is>
          <t>UPPLANDS-BRO</t>
        </is>
      </c>
      <c r="H30" t="inlineStr">
        <is>
          <t>Övriga statliga verk och myndigheter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38902-2024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45547</v>
      </c>
      <c r="E31" s="1" t="n">
        <v>46315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45216</v>
      </c>
      <c r="E32" s="1" t="n">
        <v>46315</v>
      </c>
      <c r="F32" t="inlineStr">
        <is>
          <t>STOCKHOLMS LÄN</t>
        </is>
      </c>
      <c r="G32" t="inlineStr">
        <is>
          <t>UPPLANDS-BRO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44959</v>
      </c>
      <c r="E33" s="1" t="n">
        <v>46315</v>
      </c>
      <c r="F33" t="inlineStr">
        <is>
          <t>STOCKHOLMS LÄN</t>
        </is>
      </c>
      <c r="G33" t="inlineStr">
        <is>
          <t>UPPLANDS-BRO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46315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44901</v>
      </c>
      <c r="E35" s="1" t="n">
        <v>46315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46315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46315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44953</v>
      </c>
      <c r="E38" s="1" t="n">
        <v>46315</v>
      </c>
      <c r="F38" t="inlineStr">
        <is>
          <t>STOCKHOLMS LÄN</t>
        </is>
      </c>
      <c r="G38" t="inlineStr">
        <is>
          <t>UPPLANDS-BRO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72524-2021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46315</v>
      </c>
      <c r="F39" t="inlineStr">
        <is>
          <t>STOCKHOLMS LÄN</t>
        </is>
      </c>
      <c r="G39" t="inlineStr">
        <is>
          <t>UPPLANDS-BRO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45279</v>
      </c>
      <c r="E40" s="1" t="n">
        <v>46315</v>
      </c>
      <c r="F40" t="inlineStr">
        <is>
          <t>STOCKHOLMS LÄN</t>
        </is>
      </c>
      <c r="G40" t="inlineStr">
        <is>
          <t>UPPLANDS-BRO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45450</v>
      </c>
      <c r="E41" s="1" t="n">
        <v>46315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46315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59377-2024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46315</v>
      </c>
      <c r="F43" t="inlineStr">
        <is>
          <t>STOCKHOLMS LÄN</t>
        </is>
      </c>
      <c r="G43" t="inlineStr">
        <is>
          <t>UPPLANDS-BRO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24579-2026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46315</v>
      </c>
      <c r="F44" t="inlineStr">
        <is>
          <t>STOCKHOLMS LÄN</t>
        </is>
      </c>
      <c r="G44" t="inlineStr">
        <is>
          <t>UPPLANDS-BRO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46315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44770</v>
      </c>
      <c r="E46" s="1" t="n">
        <v>46315</v>
      </c>
      <c r="F46" t="inlineStr">
        <is>
          <t>STOCKHOLMS LÄN</t>
        </is>
      </c>
      <c r="G46" t="inlineStr">
        <is>
          <t>UPPLANDS-BRO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46315</v>
      </c>
      <c r="F47" t="inlineStr">
        <is>
          <t>STOCKHOLMS LÄN</t>
        </is>
      </c>
      <c r="G47" t="inlineStr">
        <is>
          <t>UPPLANDS-BRO</t>
        </is>
      </c>
      <c r="H47" t="inlineStr">
        <is>
          <t>Allmännings- och besparingsskogar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9655-2026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46315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26633-2026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46315</v>
      </c>
      <c r="F49" t="inlineStr">
        <is>
          <t>STOCKHOLMS LÄN</t>
        </is>
      </c>
      <c r="G49" t="inlineStr">
        <is>
          <t>UPPLANDS-BRO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46043</v>
      </c>
      <c r="E50" s="1" t="n">
        <v>46315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46315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28797-2026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46315</v>
      </c>
      <c r="F52" t="inlineStr">
        <is>
          <t>STOCKHOLMS LÄN</t>
        </is>
      </c>
      <c r="G52" t="inlineStr">
        <is>
          <t>UPPLANDS-BRO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46315</v>
      </c>
      <c r="F53" t="inlineStr">
        <is>
          <t>STOCKHOLMS LÄN</t>
        </is>
      </c>
      <c r="G53" t="inlineStr">
        <is>
          <t>UPPLANDS-BRO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46315</v>
      </c>
      <c r="F54" t="inlineStr">
        <is>
          <t>STOCKHOLMS LÄN</t>
        </is>
      </c>
      <c r="G54" t="inlineStr">
        <is>
          <t>UPPLANDS-BRO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46315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18813-2026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46315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56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46315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46315</v>
      </c>
      <c r="F58" t="inlineStr">
        <is>
          <t>STOCKHOLMS LÄN</t>
        </is>
      </c>
      <c r="G58" t="inlineStr">
        <is>
          <t>UPPLANDS-BRO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46315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46315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9.6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45313</v>
      </c>
      <c r="E61" s="1" t="n">
        <v>46315</v>
      </c>
      <c r="F61" t="inlineStr">
        <is>
          <t>STOCKHOLMS LÄN</t>
        </is>
      </c>
      <c r="G61" t="inlineStr">
        <is>
          <t>UPPLANDS-BRO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59402-2022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44906</v>
      </c>
      <c r="E62" s="1" t="n">
        <v>46315</v>
      </c>
      <c r="F62" t="inlineStr">
        <is>
          <t>STOCKHOLMS LÄN</t>
        </is>
      </c>
      <c r="G62" t="inlineStr">
        <is>
          <t>UPPLANDS-BRO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46226</v>
      </c>
      <c r="E63" s="1" t="n">
        <v>46315</v>
      </c>
      <c r="F63" t="inlineStr">
        <is>
          <t>STOCKHOLMS LÄN</t>
        </is>
      </c>
      <c r="G63" t="inlineStr">
        <is>
          <t>UPPLANDS-BRO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44950</v>
      </c>
      <c r="E64" s="1" t="n">
        <v>46315</v>
      </c>
      <c r="F64" t="inlineStr">
        <is>
          <t>STOCKHOLMS LÄN</t>
        </is>
      </c>
      <c r="G64" t="inlineStr">
        <is>
          <t>UPPLANDS-BRO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45348</v>
      </c>
      <c r="E65" s="1" t="n">
        <v>46315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46315</v>
      </c>
      <c r="F66" t="inlineStr">
        <is>
          <t>STOCKHOLMS LÄN</t>
        </is>
      </c>
      <c r="G66" t="inlineStr">
        <is>
          <t>UPPLANDS-BRO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33058-2026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46245</v>
      </c>
      <c r="E67" s="1" t="n">
        <v>46315</v>
      </c>
      <c r="F67" t="inlineStr">
        <is>
          <t>STOCKHOLMS LÄN</t>
        </is>
      </c>
      <c r="G67" t="inlineStr">
        <is>
          <t>UPPLANDS-BRO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46315</v>
      </c>
      <c r="F68" t="inlineStr">
        <is>
          <t>STOCKHOLMS LÄN</t>
        </is>
      </c>
      <c r="G68" t="inlineStr">
        <is>
          <t>UPPLANDS-BRO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46315</v>
      </c>
      <c r="F69" t="inlineStr">
        <is>
          <t>STOCKHOLMS LÄN</t>
        </is>
      </c>
      <c r="G69" t="inlineStr">
        <is>
          <t>UPPLANDS-BRO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46315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23627-2025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46315</v>
      </c>
      <c r="F71" t="inlineStr">
        <is>
          <t>STOCKHOLMS LÄN</t>
        </is>
      </c>
      <c r="G71" t="inlineStr">
        <is>
          <t>UPPLANDS-BRO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46315</v>
      </c>
      <c r="F72" t="inlineStr">
        <is>
          <t>STOCKHOLMS LÄN</t>
        </is>
      </c>
      <c r="G72" t="inlineStr">
        <is>
          <t>UPPLANDS-BRO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10447-2021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44558</v>
      </c>
      <c r="E73" s="1" t="n">
        <v>46315</v>
      </c>
      <c r="F73" t="inlineStr">
        <is>
          <t>STOCKHOLMS LÄN</t>
        </is>
      </c>
      <c r="G73" t="inlineStr">
        <is>
          <t>UPPLANDS-BRO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2026-10-20T01:52:17Z</dcterms:created>
  <dcterms:modified xmlns:dcterms="http://purl.org/dc/terms/" xmlns:xsi="http://www.w3.org/2001/XMLSchema-instance" xsi:type="dcterms:W3CDTF">2026-10-20T01:52:17Z</dcterms:modified>
</cp:coreProperties>
</file>