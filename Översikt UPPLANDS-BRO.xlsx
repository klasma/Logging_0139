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45912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45912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45912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12390-2025</t>
        </is>
      </c>
      <c r="B7" s="1" t="n">
        <v>45730.39577546297</v>
      </c>
      <c r="C7" s="1" t="n">
        <v>45912</v>
      </c>
      <c r="D7" t="inlineStr">
        <is>
          <t>STOCKHOLMS LÄN</t>
        </is>
      </c>
      <c r="E7" t="inlineStr">
        <is>
          <t>UPPLANDS-BRO</t>
        </is>
      </c>
      <c r="G7" t="n">
        <v>1.5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Nattviol</t>
        </is>
      </c>
      <c r="S7">
        <f>HYPERLINK("https://klasma.github.io/Logging_0139/artfynd/A 12390-2025 artfynd.xlsx", "A 12390-2025")</f>
        <v/>
      </c>
      <c r="T7">
        <f>HYPERLINK("https://klasma.github.io/Logging_0139/kartor/A 12390-2025 karta.png", "A 12390-2025")</f>
        <v/>
      </c>
      <c r="V7">
        <f>HYPERLINK("https://klasma.github.io/Logging_0139/klagomål/A 12390-2025 FSC-klagomål.docx", "A 12390-2025")</f>
        <v/>
      </c>
      <c r="W7">
        <f>HYPERLINK("https://klasma.github.io/Logging_0139/klagomålsmail/A 12390-2025 FSC-klagomål mail.docx", "A 12390-2025")</f>
        <v/>
      </c>
      <c r="X7">
        <f>HYPERLINK("https://klasma.github.io/Logging_0139/tillsyn/A 12390-2025 tillsynsbegäran.docx", "A 12390-2025")</f>
        <v/>
      </c>
      <c r="Y7">
        <f>HYPERLINK("https://klasma.github.io/Logging_0139/tillsynsmail/A 12390-2025 tillsynsbegäran mail.docx", "A 12390-2025")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45912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10911-2025</t>
        </is>
      </c>
      <c r="B9" s="1" t="n">
        <v>45722</v>
      </c>
      <c r="C9" s="1" t="n">
        <v>45912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5.6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Vågbandad barkbock</t>
        </is>
      </c>
      <c r="S9">
        <f>HYPERLINK("https://klasma.github.io/Logging_0139/artfynd/A 10911-2025 artfynd.xlsx", "A 10911-2025")</f>
        <v/>
      </c>
      <c r="T9">
        <f>HYPERLINK("https://klasma.github.io/Logging_0139/kartor/A 10911-2025 karta.png", "A 10911-2025")</f>
        <v/>
      </c>
      <c r="V9">
        <f>HYPERLINK("https://klasma.github.io/Logging_0139/klagomål/A 10911-2025 FSC-klagomål.docx", "A 10911-2025")</f>
        <v/>
      </c>
      <c r="W9">
        <f>HYPERLINK("https://klasma.github.io/Logging_0139/klagomålsmail/A 10911-2025 FSC-klagomål mail.docx", "A 10911-2025")</f>
        <v/>
      </c>
      <c r="X9">
        <f>HYPERLINK("https://klasma.github.io/Logging_0139/tillsyn/A 10911-2025 tillsynsbegäran.docx", "A 10911-2025")</f>
        <v/>
      </c>
      <c r="Y9">
        <f>HYPERLINK("https://klasma.github.io/Logging_0139/tillsynsmail/A 10911-2025 tillsynsbegäran mail.docx", "A 10911-2025")</f>
        <v/>
      </c>
      <c r="Z9">
        <f>HYPERLINK("https://klasma.github.io/Logging_0139/fåglar/A 10911-2025 prioriterade fågelarter.docx", "A 10911-2025")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45912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45912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47329-2020</t>
        </is>
      </c>
      <c r="B13" s="1" t="n">
        <v>44097</v>
      </c>
      <c r="C13" s="1" t="n">
        <v>45912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47329-2020 artfynd.xlsx", "A 47329-2020")</f>
        <v/>
      </c>
      <c r="T13">
        <f>HYPERLINK("https://klasma.github.io/Logging_0139/kartor/A 47329-2020 karta.png", "A 47329-2020")</f>
        <v/>
      </c>
      <c r="V13">
        <f>HYPERLINK("https://klasma.github.io/Logging_0139/klagomål/A 47329-2020 FSC-klagomål.docx", "A 47329-2020")</f>
        <v/>
      </c>
      <c r="W13">
        <f>HYPERLINK("https://klasma.github.io/Logging_0139/klagomålsmail/A 47329-2020 FSC-klagomål mail.docx", "A 47329-2020")</f>
        <v/>
      </c>
      <c r="X13">
        <f>HYPERLINK("https://klasma.github.io/Logging_0139/tillsyn/A 47329-2020 tillsynsbegäran.docx", "A 47329-2020")</f>
        <v/>
      </c>
      <c r="Y13">
        <f>HYPERLINK("https://klasma.github.io/Logging_0139/tillsynsmail/A 47329-2020 tillsynsbegäran mail.docx", "A 47329-2020")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45912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45912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45912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45912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45912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45912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45912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45912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3838-2022</t>
        </is>
      </c>
      <c r="B29" s="1" t="n">
        <v>44587.37274305556</v>
      </c>
      <c r="C29" s="1" t="n">
        <v>45912</v>
      </c>
      <c r="D29" t="inlineStr">
        <is>
          <t>STOCKHOLMS LÄN</t>
        </is>
      </c>
      <c r="E29" t="inlineStr">
        <is>
          <t>UPPLANDS-BRO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45912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45912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45912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45912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45912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45912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2602-2024</t>
        </is>
      </c>
      <c r="B36" s="1" t="n">
        <v>45313.73068287037</v>
      </c>
      <c r="C36" s="1" t="n">
        <v>45912</v>
      </c>
      <c r="D36" t="inlineStr">
        <is>
          <t>STOCKHOLMS LÄN</t>
        </is>
      </c>
      <c r="E36" t="inlineStr">
        <is>
          <t>UPPLANDS-BRO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59844-2022</t>
        </is>
      </c>
      <c r="B37" s="1" t="n">
        <v>44901</v>
      </c>
      <c r="C37" s="1" t="n">
        <v>45912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7112-2025</t>
        </is>
      </c>
      <c r="B38" s="1" t="n">
        <v>45701</v>
      </c>
      <c r="C38" s="1" t="n">
        <v>45912</v>
      </c>
      <c r="D38" t="inlineStr">
        <is>
          <t>STOCKHOLMS LÄN</t>
        </is>
      </c>
      <c r="E38" t="inlineStr">
        <is>
          <t>UPPLANDS-BRO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38902-2024</t>
        </is>
      </c>
      <c r="B39" s="1" t="n">
        <v>45547</v>
      </c>
      <c r="C39" s="1" t="n">
        <v>45912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55586-2023</t>
        </is>
      </c>
      <c r="B40" s="1" t="n">
        <v>45232</v>
      </c>
      <c r="C40" s="1" t="n">
        <v>45912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64105-2023</t>
        </is>
      </c>
      <c r="B41" s="1" t="n">
        <v>45279</v>
      </c>
      <c r="C41" s="1" t="n">
        <v>45912</v>
      </c>
      <c r="D41" t="inlineStr">
        <is>
          <t>STOCKHOLMS LÄN</t>
        </is>
      </c>
      <c r="E41" t="inlineStr">
        <is>
          <t>UPPLANDS-BRO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45912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10935-2025</t>
        </is>
      </c>
      <c r="B43" s="1" t="n">
        <v>45722</v>
      </c>
      <c r="C43" s="1" t="n">
        <v>45912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49686-2020</t>
        </is>
      </c>
      <c r="B44" s="1" t="n">
        <v>44106</v>
      </c>
      <c r="C44" s="1" t="n">
        <v>45912</v>
      </c>
      <c r="D44" t="inlineStr">
        <is>
          <t>STOCKHOLMS LÄN</t>
        </is>
      </c>
      <c r="E44" t="inlineStr">
        <is>
          <t>UPPLANDS-BRO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2062-2025</t>
        </is>
      </c>
      <c r="B45" s="1" t="n">
        <v>45671</v>
      </c>
      <c r="C45" s="1" t="n">
        <v>45912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45912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45912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45912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51587-2023</t>
        </is>
      </c>
      <c r="B49" s="1" t="n">
        <v>45215</v>
      </c>
      <c r="C49" s="1" t="n">
        <v>45912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3630-2023</t>
        </is>
      </c>
      <c r="B50" s="1" t="n">
        <v>44950</v>
      </c>
      <c r="C50" s="1" t="n">
        <v>45912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23093-2024</t>
        </is>
      </c>
      <c r="B51" s="1" t="n">
        <v>45450</v>
      </c>
      <c r="C51" s="1" t="n">
        <v>45912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45912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72524-2021</t>
        </is>
      </c>
      <c r="B53" s="1" t="n">
        <v>44546</v>
      </c>
      <c r="C53" s="1" t="n">
        <v>45912</v>
      </c>
      <c r="D53" t="inlineStr">
        <is>
          <t>STOCKHOLMS LÄN</t>
        </is>
      </c>
      <c r="E53" t="inlineStr">
        <is>
          <t>UPPLANDS-BRO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45912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45912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12378-2025</t>
        </is>
      </c>
      <c r="B56" s="1" t="n">
        <v>45730.38032407407</v>
      </c>
      <c r="C56" s="1" t="n">
        <v>45912</v>
      </c>
      <c r="D56" t="inlineStr">
        <is>
          <t>STOCKHOLMS LÄN</t>
        </is>
      </c>
      <c r="E56" t="inlineStr">
        <is>
          <t>UPPLANDS-BRO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45912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45912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59700-2021</t>
        </is>
      </c>
      <c r="B59" s="1" t="n">
        <v>44494</v>
      </c>
      <c r="C59" s="1" t="n">
        <v>45912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45912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65954-2020</t>
        </is>
      </c>
      <c r="B61" s="1" t="n">
        <v>44175</v>
      </c>
      <c r="C61" s="1" t="n">
        <v>45912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12363-2025</t>
        </is>
      </c>
      <c r="B62" s="1" t="n">
        <v>45730.37431712963</v>
      </c>
      <c r="C62" s="1" t="n">
        <v>45912</v>
      </c>
      <c r="D62" t="inlineStr">
        <is>
          <t>STOCKHOLMS LÄN</t>
        </is>
      </c>
      <c r="E62" t="inlineStr">
        <is>
          <t>UPPLANDS-BRO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64114-2023</t>
        </is>
      </c>
      <c r="B63" s="1" t="n">
        <v>45279</v>
      </c>
      <c r="C63" s="1" t="n">
        <v>45912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27805-2021</t>
        </is>
      </c>
      <c r="B64" s="1" t="n">
        <v>44354</v>
      </c>
      <c r="C64" s="1" t="n">
        <v>45912</v>
      </c>
      <c r="D64" t="inlineStr">
        <is>
          <t>STOCKHOLMS LÄN</t>
        </is>
      </c>
      <c r="E64" t="inlineStr">
        <is>
          <t>UPPLANDS-BRO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12372-2025</t>
        </is>
      </c>
      <c r="B65" s="1" t="n">
        <v>45730.37740740741</v>
      </c>
      <c r="C65" s="1" t="n">
        <v>45912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50294-2023</t>
        </is>
      </c>
      <c r="B66" s="1" t="n">
        <v>45216</v>
      </c>
      <c r="C66" s="1" t="n">
        <v>45912</v>
      </c>
      <c r="D66" t="inlineStr">
        <is>
          <t>STOCKHOLMS LÄN</t>
        </is>
      </c>
      <c r="E66" t="inlineStr">
        <is>
          <t>UPPLANDS-BRO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45912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45912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45912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45912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21560-2021</t>
        </is>
      </c>
      <c r="B71" s="1" t="n">
        <v>44321</v>
      </c>
      <c r="C71" s="1" t="n">
        <v>45912</v>
      </c>
      <c r="D71" t="inlineStr">
        <is>
          <t>STOCKHOLMS LÄN</t>
        </is>
      </c>
      <c r="E71" t="inlineStr">
        <is>
          <t>UPPLANDS-BRO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45912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50698-2020</t>
        </is>
      </c>
      <c r="B73" s="1" t="n">
        <v>44111</v>
      </c>
      <c r="C73" s="1" t="n">
        <v>45912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45912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45912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23098-2024</t>
        </is>
      </c>
      <c r="B76" s="1" t="n">
        <v>45450</v>
      </c>
      <c r="C76" s="1" t="n">
        <v>45912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59377-2024</t>
        </is>
      </c>
      <c r="B77" s="1" t="n">
        <v>45638.35164351852</v>
      </c>
      <c r="C77" s="1" t="n">
        <v>45912</v>
      </c>
      <c r="D77" t="inlineStr">
        <is>
          <t>STOCKHOLMS LÄN</t>
        </is>
      </c>
      <c r="E77" t="inlineStr">
        <is>
          <t>UPPLANDS-BRO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46438-2023</t>
        </is>
      </c>
      <c r="B78" s="1" t="n">
        <v>45197</v>
      </c>
      <c r="C78" s="1" t="n">
        <v>45912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10912-2025</t>
        </is>
      </c>
      <c r="B79" s="1" t="n">
        <v>45722</v>
      </c>
      <c r="C79" s="1" t="n">
        <v>45912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59402-2022</t>
        </is>
      </c>
      <c r="B80" s="1" t="n">
        <v>44906</v>
      </c>
      <c r="C80" s="1" t="n">
        <v>45912</v>
      </c>
      <c r="D80" t="inlineStr">
        <is>
          <t>STOCKHOLMS LÄN</t>
        </is>
      </c>
      <c r="E80" t="inlineStr">
        <is>
          <t>UPPLANDS-BRO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64107-2023</t>
        </is>
      </c>
      <c r="B81" s="1" t="n">
        <v>45279</v>
      </c>
      <c r="C81" s="1" t="n">
        <v>45912</v>
      </c>
      <c r="D81" t="inlineStr">
        <is>
          <t>STOCKHOLMS LÄN</t>
        </is>
      </c>
      <c r="E81" t="inlineStr">
        <is>
          <t>UPPLANDS-BRO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55541-2020</t>
        </is>
      </c>
      <c r="B82" s="1" t="n">
        <v>44131</v>
      </c>
      <c r="C82" s="1" t="n">
        <v>45912</v>
      </c>
      <c r="D82" t="inlineStr">
        <is>
          <t>STOCKHOLMS LÄN</t>
        </is>
      </c>
      <c r="E82" t="inlineStr">
        <is>
          <t>UPPLANDS-BRO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12892-2025</t>
        </is>
      </c>
      <c r="B83" s="1" t="n">
        <v>45733</v>
      </c>
      <c r="C83" s="1" t="n">
        <v>45912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2025-09-12T08:54:49Z</dcterms:created>
  <dcterms:modified xmlns:dcterms="http://purl.org/dc/terms/" xmlns:xsi="http://www.w3.org/2001/XMLSchema-instance" xsi:type="dcterms:W3CDTF">2025-09-12T08:54:49Z</dcterms:modified>
</cp:coreProperties>
</file>