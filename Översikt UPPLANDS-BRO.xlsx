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46220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Entita
Spillkråka
Tallbit
Grönsiska
Kungsfågel</t>
        </is>
      </c>
      <c r="V2">
        <f>HYPERLINK("https://klasma.github.io/Logging_0139/artfynd/A 56756-2021 artfynd.xlsx", "A 56756-2021")</f>
        <v/>
      </c>
      <c r="W2">
        <f>HYPERLINK("https://klasma.github.io/Logging_0139/kartor/A 56756-2021 karta.png", "A 56756-2021")</f>
        <v/>
      </c>
      <c r="Y2">
        <f>HYPERLINK("https://klasma.github.io/Logging_0139/klagomål/A 56756-2021 FSC-klagomål.docx", "A 56756-2021")</f>
        <v/>
      </c>
      <c r="Z2">
        <f>HYPERLINK("https://klasma.github.io/Logging_0139/klagomålsmail/A 56756-2021 FSC-klagomål mail.docx", "A 56756-2021")</f>
        <v/>
      </c>
      <c r="AA2">
        <f>HYPERLINK("https://klasma.github.io/Logging_0139/tillsyn/A 56756-2021 tillsynsbegäran.docx", "A 56756-2021")</f>
        <v/>
      </c>
      <c r="AB2">
        <f>HYPERLINK("https://klasma.github.io/Logging_0139/tillsynsmail/A 56756-2021 tillsynsbegäran mail.docx", "A 56756-2021")</f>
        <v/>
      </c>
      <c r="AC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46220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s="2" t="inlineStr">
        <is>
          <t>Blek fingersvamp
Dofttaggsvamp
Skarp dropptaggsvamp
Svartvit taggsvamp</t>
        </is>
      </c>
      <c r="V3">
        <f>HYPERLINK("https://klasma.github.io/Logging_0139/artfynd/A 73783-2021 artfynd.xlsx", "A 73783-2021")</f>
        <v/>
      </c>
      <c r="W3">
        <f>HYPERLINK("https://klasma.github.io/Logging_0139/kartor/A 73783-2021 karta.png", "A 73783-2021")</f>
        <v/>
      </c>
      <c r="Y3">
        <f>HYPERLINK("https://klasma.github.io/Logging_0139/klagomål/A 73783-2021 FSC-klagomål.docx", "A 73783-2021")</f>
        <v/>
      </c>
      <c r="Z3">
        <f>HYPERLINK("https://klasma.github.io/Logging_0139/klagomålsmail/A 73783-2021 FSC-klagomål mail.docx", "A 73783-2021")</f>
        <v/>
      </c>
      <c r="AA3">
        <f>HYPERLINK("https://klasma.github.io/Logging_0139/tillsyn/A 73783-2021 tillsynsbegäran.docx", "A 73783-2021")</f>
        <v/>
      </c>
      <c r="AB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46220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s="2" t="inlineStr">
        <is>
          <t>Blek fingersvamp
Dofttaggsvamp
Skarp dropptaggsvamp
Svartvit taggsvamp</t>
        </is>
      </c>
      <c r="V4">
        <f>HYPERLINK("https://klasma.github.io/Logging_0139/artfynd/A 73783-2021 artfynd.xlsx", "A 73783-2021")</f>
        <v/>
      </c>
      <c r="W4">
        <f>HYPERLINK("https://klasma.github.io/Logging_0139/kartor/A 73783-2021 karta.png", "A 73783-2021")</f>
        <v/>
      </c>
      <c r="Y4">
        <f>HYPERLINK("https://klasma.github.io/Logging_0139/klagomål/A 73783-2021 FSC-klagomål.docx", "A 73783-2021")</f>
        <v/>
      </c>
      <c r="Z4">
        <f>HYPERLINK("https://klasma.github.io/Logging_0139/klagomålsmail/A 73783-2021 FSC-klagomål mail.docx", "A 73783-2021")</f>
        <v/>
      </c>
      <c r="AA4">
        <f>HYPERLINK("https://klasma.github.io/Logging_0139/tillsyn/A 73783-2021 tillsynsbegäran.docx", "A 73783-2021")</f>
        <v/>
      </c>
      <c r="AB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46220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Fyrflikig jordstjärna
Nästrot
Blåsippa</t>
        </is>
      </c>
      <c r="V5">
        <f>HYPERLINK("https://klasma.github.io/Logging_0139/artfynd/A 55586-2023 artfynd.xlsx", "A 55586-2023")</f>
        <v/>
      </c>
      <c r="W5">
        <f>HYPERLINK("https://klasma.github.io/Logging_0139/kartor/A 55586-2023 karta.png", "A 55586-2023")</f>
        <v/>
      </c>
      <c r="Y5">
        <f>HYPERLINK("https://klasma.github.io/Logging_0139/klagomål/A 55586-2023 FSC-klagomål.docx", "A 55586-2023")</f>
        <v/>
      </c>
      <c r="Z5">
        <f>HYPERLINK("https://klasma.github.io/Logging_0139/klagomålsmail/A 55586-2023 FSC-klagomål mail.docx", "A 55586-2023")</f>
        <v/>
      </c>
      <c r="AA5">
        <f>HYPERLINK("https://klasma.github.io/Logging_0139/tillsyn/A 55586-2023 tillsynsbegäran.docx", "A 55586-2023")</f>
        <v/>
      </c>
      <c r="AB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46220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Svedjenäva
Fläcknycklar</t>
        </is>
      </c>
      <c r="V6">
        <f>HYPERLINK("https://klasma.github.io/Logging_0139/artfynd/A 18772-2026 artfynd.xlsx", "A 18772-2026")</f>
        <v/>
      </c>
      <c r="W6">
        <f>HYPERLINK("https://klasma.github.io/Logging_0139/kartor/A 18772-2026 karta.png", "A 18772-2026")</f>
        <v/>
      </c>
      <c r="Y6">
        <f>HYPERLINK("https://klasma.github.io/Logging_0139/klagomål/A 18772-2026 FSC-klagomål.docx", "A 18772-2026")</f>
        <v/>
      </c>
      <c r="Z6">
        <f>HYPERLINK("https://klasma.github.io/Logging_0139/klagomålsmail/A 18772-2026 FSC-klagomål mail.docx", "A 18772-2026")</f>
        <v/>
      </c>
      <c r="AA6">
        <f>HYPERLINK("https://klasma.github.io/Logging_0139/tillsyn/A 18772-2026 tillsynsbegäran.docx", "A 18772-2026")</f>
        <v/>
      </c>
      <c r="AB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46220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Fläcknycklar
Nattviol</t>
        </is>
      </c>
      <c r="V7">
        <f>HYPERLINK("https://klasma.github.io/Logging_0139/artfynd/A 18790-2026 artfynd.xlsx", "A 18790-2026")</f>
        <v/>
      </c>
      <c r="W7">
        <f>HYPERLINK("https://klasma.github.io/Logging_0139/kartor/A 18790-2026 karta.png", "A 18790-2026")</f>
        <v/>
      </c>
      <c r="Y7">
        <f>HYPERLINK("https://klasma.github.io/Logging_0139/klagomål/A 18790-2026 FSC-klagomål.docx", "A 18790-2026")</f>
        <v/>
      </c>
      <c r="Z7">
        <f>HYPERLINK("https://klasma.github.io/Logging_0139/klagomålsmail/A 18790-2026 FSC-klagomål mail.docx", "A 18790-2026")</f>
        <v/>
      </c>
      <c r="AA7">
        <f>HYPERLINK("https://klasma.github.io/Logging_0139/tillsyn/A 18790-2026 tillsynsbegäran.docx", "A 18790-2026")</f>
        <v/>
      </c>
      <c r="AB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46220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Arommusseron
Fläcknycklar</t>
        </is>
      </c>
      <c r="V8">
        <f>HYPERLINK("https://klasma.github.io/Logging_0139/artfynd/A 10909-2025 artfynd.xlsx", "A 10909-2025")</f>
        <v/>
      </c>
      <c r="W8">
        <f>HYPERLINK("https://klasma.github.io/Logging_0139/kartor/A 10909-2025 karta.png", "A 10909-2025")</f>
        <v/>
      </c>
      <c r="Y8">
        <f>HYPERLINK("https://klasma.github.io/Logging_0139/klagomål/A 10909-2025 FSC-klagomål.docx", "A 10909-2025")</f>
        <v/>
      </c>
      <c r="Z8">
        <f>HYPERLINK("https://klasma.github.io/Logging_0139/klagomålsmail/A 10909-2025 FSC-klagomål mail.docx", "A 10909-2025")</f>
        <v/>
      </c>
      <c r="AA8">
        <f>HYPERLINK("https://klasma.github.io/Logging_0139/tillsyn/A 10909-2025 tillsynsbegäran.docx", "A 10909-2025")</f>
        <v/>
      </c>
      <c r="AB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46220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s="2" t="inlineStr">
        <is>
          <t>Ask
Mistel</t>
        </is>
      </c>
      <c r="V9">
        <f>HYPERLINK("https://klasma.github.io/Logging_0139/artfynd/S 800-2022 artfynd.xlsx", "S 800-2022")</f>
        <v/>
      </c>
      <c r="W9">
        <f>HYPERLINK("https://klasma.github.io/Logging_0139/kartor/S 800-2022 karta.png", "S 800-2022")</f>
        <v/>
      </c>
      <c r="Y9">
        <f>HYPERLINK("https://klasma.github.io/Logging_0139/klagomål/S 800-2022 FSC-klagomål.docx", "S 800-2022")</f>
        <v/>
      </c>
      <c r="Z9">
        <f>HYPERLINK("https://klasma.github.io/Logging_0139/klagomålsmail/S 800-2022 FSC-klagomål mail.docx", "S 800-2022")</f>
        <v/>
      </c>
      <c r="AA9">
        <f>HYPERLINK("https://klasma.github.io/Logging_0139/tillsyn/S 800-2022 tillsynsbegäran.docx", "S 800-2022")</f>
        <v/>
      </c>
      <c r="AB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46220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Dofttaggsvamp</t>
        </is>
      </c>
      <c r="V10">
        <f>HYPERLINK("https://klasma.github.io/Logging_0139/artfynd/A 73787-2021 artfynd.xlsx", "A 73787-2021")</f>
        <v/>
      </c>
      <c r="W10">
        <f>HYPERLINK("https://klasma.github.io/Logging_0139/kartor/A 73787-2021 karta.png", "A 73787-2021")</f>
        <v/>
      </c>
      <c r="Y10">
        <f>HYPERLINK("https://klasma.github.io/Logging_0139/klagomål/A 73787-2021 FSC-klagomål.docx", "A 73787-2021")</f>
        <v/>
      </c>
      <c r="Z10">
        <f>HYPERLINK("https://klasma.github.io/Logging_0139/klagomålsmail/A 73787-2021 FSC-klagomål mail.docx", "A 73787-2021")</f>
        <v/>
      </c>
      <c r="AA10">
        <f>HYPERLINK("https://klasma.github.io/Logging_0139/tillsyn/A 73787-2021 tillsynsbegäran.docx", "A 73787-2021")</f>
        <v/>
      </c>
      <c r="AB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46220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Bombmurkla</t>
        </is>
      </c>
      <c r="V11">
        <f>HYPERLINK("https://klasma.github.io/Logging_0139/artfynd/A 25561-2025 artfynd.xlsx", "A 25561-2025")</f>
        <v/>
      </c>
      <c r="W11">
        <f>HYPERLINK("https://klasma.github.io/Logging_0139/kartor/A 25561-2025 karta.png", "A 25561-2025")</f>
        <v/>
      </c>
      <c r="Y11">
        <f>HYPERLINK("https://klasma.github.io/Logging_0139/klagomål/A 25561-2025 FSC-klagomål.docx", "A 25561-2025")</f>
        <v/>
      </c>
      <c r="Z11">
        <f>HYPERLINK("https://klasma.github.io/Logging_0139/klagomålsmail/A 25561-2025 FSC-klagomål mail.docx", "A 25561-2025")</f>
        <v/>
      </c>
      <c r="AA11">
        <f>HYPERLINK("https://klasma.github.io/Logging_0139/tillsyn/A 25561-2025 tillsynsbegäran.docx", "A 25561-2025")</f>
        <v/>
      </c>
      <c r="AB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46220</v>
      </c>
      <c r="F12" t="inlineStr">
        <is>
          <t>STOCKHOLMS LÄN</t>
        </is>
      </c>
      <c r="G12" t="inlineStr">
        <is>
          <t>UPPLANDS-BRO</t>
        </is>
      </c>
      <c r="I12" t="n">
        <v>14.2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Havsörn</t>
        </is>
      </c>
      <c r="V12">
        <f>HYPERLINK("https://klasma.github.io/Logging_0139/artfynd/A 2409-2026 artfynd.xlsx", "A 2409-2026")</f>
        <v/>
      </c>
      <c r="W12">
        <f>HYPERLINK("https://klasma.github.io/Logging_0139/kartor/A 2409-2026 karta.png", "A 2409-2026")</f>
        <v/>
      </c>
      <c r="Y12">
        <f>HYPERLINK("https://klasma.github.io/Logging_0139/klagomål/A 2409-2026 FSC-klagomål.docx", "A 2409-2026")</f>
        <v/>
      </c>
      <c r="Z12">
        <f>HYPERLINK("https://klasma.github.io/Logging_0139/klagomålsmail/A 2409-2026 FSC-klagomål mail.docx", "A 2409-2026")</f>
        <v/>
      </c>
      <c r="AA12">
        <f>HYPERLINK("https://klasma.github.io/Logging_0139/tillsyn/A 2409-2026 tillsynsbegäran.docx", "A 2409-2026")</f>
        <v/>
      </c>
      <c r="AB12">
        <f>HYPERLINK("https://klasma.github.io/Logging_0139/tillsynsmail/A 2409-2026 tillsynsbegäran mail.docx", "A 2409-2026")</f>
        <v/>
      </c>
      <c r="AC12">
        <f>HYPERLINK("https://klasma.github.io/Logging_0139/fåglar/A 2409-2026 prioriterade fågelarter.docx", "A 2409-2026")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46220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Nästrot</t>
        </is>
      </c>
      <c r="V13">
        <f>HYPERLINK("https://klasma.github.io/Logging_0139/artfynd/A 12363-2025 artfynd.xlsx", "A 12363-2025")</f>
        <v/>
      </c>
      <c r="W13">
        <f>HYPERLINK("https://klasma.github.io/Logging_0139/kartor/A 12363-2025 karta.png", "A 12363-2025")</f>
        <v/>
      </c>
      <c r="Y13">
        <f>HYPERLINK("https://klasma.github.io/Logging_0139/klagomål/A 12363-2025 FSC-klagomål.docx", "A 12363-2025")</f>
        <v/>
      </c>
      <c r="Z13">
        <f>HYPERLINK("https://klasma.github.io/Logging_0139/klagomålsmail/A 12363-2025 FSC-klagomål mail.docx", "A 12363-2025")</f>
        <v/>
      </c>
      <c r="AA13">
        <f>HYPERLINK("https://klasma.github.io/Logging_0139/tillsyn/A 12363-2025 tillsynsbegäran.docx", "A 12363-2025")</f>
        <v/>
      </c>
      <c r="AB13">
        <f>HYPERLINK("https://klasma.github.io/Logging_0139/tillsynsmail/A 12363-2025 tillsynsbegäran mail.docx", "A 12363-2025")</f>
        <v/>
      </c>
    </row>
    <row r="14" ht="15" customHeight="1">
      <c r="A14" t="inlineStr">
        <is>
          <t>A 73773-2021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44552</v>
      </c>
      <c r="E14" s="1" t="n">
        <v>46220</v>
      </c>
      <c r="F14" t="inlineStr">
        <is>
          <t>STOCKHOLMS LÄN</t>
        </is>
      </c>
      <c r="G14" t="inlineStr">
        <is>
          <t>UPPLANDS-BRO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Kopparödla</t>
        </is>
      </c>
      <c r="V14">
        <f>HYPERLINK("https://klasma.github.io/Logging_0139/artfynd/A 73773-2021 artfynd.xlsx", "A 73773-2021")</f>
        <v/>
      </c>
      <c r="W14">
        <f>HYPERLINK("https://klasma.github.io/Logging_0139/kartor/A 73773-2021 karta.png", "A 73773-2021")</f>
        <v/>
      </c>
      <c r="Y14">
        <f>HYPERLINK("https://klasma.github.io/Logging_0139/klagomål/A 73773-2021 FSC-klagomål.docx", "A 73773-2021")</f>
        <v/>
      </c>
      <c r="Z14">
        <f>HYPERLINK("https://klasma.github.io/Logging_0139/klagomålsmail/A 73773-2021 FSC-klagomål mail.docx", "A 73773-2021")</f>
        <v/>
      </c>
      <c r="AA14">
        <f>HYPERLINK("https://klasma.github.io/Logging_0139/tillsyn/A 73773-2021 tillsynsbegäran.docx", "A 73773-2021")</f>
        <v/>
      </c>
      <c r="AB14">
        <f>HYPERLINK("https://klasma.github.io/Logging_0139/tillsynsmail/A 73773-2021 tillsynsbegäran mail.docx", "A 73773-2021")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46220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s="2" t="inlineStr">
        <is>
          <t>Bombmurkla</t>
        </is>
      </c>
      <c r="V15">
        <f>HYPERLINK("https://klasma.github.io/Logging_0139/artfynd/A 53357-2025 artfynd.xlsx", "A 53357-2025")</f>
        <v/>
      </c>
      <c r="W15">
        <f>HYPERLINK("https://klasma.github.io/Logging_0139/kartor/A 53357-2025 karta.png", "A 53357-2025")</f>
        <v/>
      </c>
      <c r="Y15">
        <f>HYPERLINK("https://klasma.github.io/Logging_0139/klagomål/A 53357-2025 FSC-klagomål.docx", "A 53357-2025")</f>
        <v/>
      </c>
      <c r="Z15">
        <f>HYPERLINK("https://klasma.github.io/Logging_0139/klagomålsmail/A 53357-2025 FSC-klagomål mail.docx", "A 53357-2025")</f>
        <v/>
      </c>
      <c r="AA15">
        <f>HYPERLINK("https://klasma.github.io/Logging_0139/tillsyn/A 53357-2025 tillsynsbegäran.docx", "A 53357-2025")</f>
        <v/>
      </c>
      <c r="AB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46220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Bredbrämad bastardsvärmare</t>
        </is>
      </c>
      <c r="V16">
        <f>HYPERLINK("https://klasma.github.io/Logging_0139/artfynd/A 23099-2024 artfynd.xlsx", "A 23099-2024")</f>
        <v/>
      </c>
      <c r="W16">
        <f>HYPERLINK("https://klasma.github.io/Logging_0139/kartor/A 23099-2024 karta.png", "A 23099-2024")</f>
        <v/>
      </c>
      <c r="Y16">
        <f>HYPERLINK("https://klasma.github.io/Logging_0139/klagomål/A 23099-2024 FSC-klagomål.docx", "A 23099-2024")</f>
        <v/>
      </c>
      <c r="Z16">
        <f>HYPERLINK("https://klasma.github.io/Logging_0139/klagomålsmail/A 23099-2024 FSC-klagomål mail.docx", "A 23099-2024")</f>
        <v/>
      </c>
      <c r="AA16">
        <f>HYPERLINK("https://klasma.github.io/Logging_0139/tillsyn/A 23099-2024 tillsynsbegäran.docx", "A 23099-2024")</f>
        <v/>
      </c>
      <c r="AB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46220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Bombmurkla</t>
        </is>
      </c>
      <c r="V17">
        <f>HYPERLINK("https://klasma.github.io/Logging_0139/artfynd/A 46438-2023 artfynd.xlsx", "A 46438-2023")</f>
        <v/>
      </c>
      <c r="W17">
        <f>HYPERLINK("https://klasma.github.io/Logging_0139/kartor/A 46438-2023 karta.png", "A 46438-2023")</f>
        <v/>
      </c>
      <c r="Y17">
        <f>HYPERLINK("https://klasma.github.io/Logging_0139/klagomål/A 46438-2023 FSC-klagomål.docx", "A 46438-2023")</f>
        <v/>
      </c>
      <c r="Z17">
        <f>HYPERLINK("https://klasma.github.io/Logging_0139/klagomålsmail/A 46438-2023 FSC-klagomål mail.docx", "A 46438-2023")</f>
        <v/>
      </c>
      <c r="AA17">
        <f>HYPERLINK("https://klasma.github.io/Logging_0139/tillsyn/A 46438-2023 tillsynsbegäran.docx", "A 46438-2023")</f>
        <v/>
      </c>
      <c r="AB17">
        <f>HYPERLINK("https://klasma.github.io/Logging_0139/tillsynsmail/A 46438-2023 tillsynsbegäran mail.docx", "A 46438-2023")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46220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Myskbock</t>
        </is>
      </c>
      <c r="V18">
        <f>HYPERLINK("https://klasma.github.io/Logging_0139/artfynd/A 11447-2025 artfynd.xlsx", "A 11447-2025")</f>
        <v/>
      </c>
      <c r="W18">
        <f>HYPERLINK("https://klasma.github.io/Logging_0139/kartor/A 11447-2025 karta.png", "A 11447-2025")</f>
        <v/>
      </c>
      <c r="Y18">
        <f>HYPERLINK("https://klasma.github.io/Logging_0139/klagomål/A 11447-2025 FSC-klagomål.docx", "A 11447-2025")</f>
        <v/>
      </c>
      <c r="Z18">
        <f>HYPERLINK("https://klasma.github.io/Logging_0139/klagomålsmail/A 11447-2025 FSC-klagomål mail.docx", "A 11447-2025")</f>
        <v/>
      </c>
      <c r="AA18">
        <f>HYPERLINK("https://klasma.github.io/Logging_0139/tillsyn/A 11447-2025 tillsynsbegäran.docx", "A 11447-2025")</f>
        <v/>
      </c>
      <c r="AB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46220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Bombmurkla</t>
        </is>
      </c>
      <c r="V19">
        <f>HYPERLINK("https://klasma.github.io/Logging_0139/artfynd/A 7955-2023 artfynd.xlsx", "A 7955-2023")</f>
        <v/>
      </c>
      <c r="W19">
        <f>HYPERLINK("https://klasma.github.io/Logging_0139/kartor/A 7955-2023 karta.png", "A 7955-2023")</f>
        <v/>
      </c>
      <c r="Y19">
        <f>HYPERLINK("https://klasma.github.io/Logging_0139/klagomål/A 7955-2023 FSC-klagomål.docx", "A 7955-2023")</f>
        <v/>
      </c>
      <c r="Z19">
        <f>HYPERLINK("https://klasma.github.io/Logging_0139/klagomålsmail/A 7955-2023 FSC-klagomål mail.docx", "A 7955-2023")</f>
        <v/>
      </c>
      <c r="AA19">
        <f>HYPERLINK("https://klasma.github.io/Logging_0139/tillsyn/A 7955-2023 tillsynsbegäran.docx", "A 7955-2023")</f>
        <v/>
      </c>
      <c r="AB19">
        <f>HYPERLINK("https://klasma.github.io/Logging_0139/tillsynsmail/A 7955-2023 tillsynsbegäran mail.docx", "A 7955-2023")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46220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Svartöra</t>
        </is>
      </c>
      <c r="V20">
        <f>HYPERLINK("https://klasma.github.io/Logging_0139/artfynd/A 26623-2026 artfynd.xlsx", "A 26623-2026")</f>
        <v/>
      </c>
      <c r="W20">
        <f>HYPERLINK("https://klasma.github.io/Logging_0139/kartor/A 26623-2026 karta.png", "A 26623-2026")</f>
        <v/>
      </c>
      <c r="Y20">
        <f>HYPERLINK("https://klasma.github.io/Logging_0139/klagomål/A 26623-2026 FSC-klagomål.docx", "A 26623-2026")</f>
        <v/>
      </c>
      <c r="Z20">
        <f>HYPERLINK("https://klasma.github.io/Logging_0139/klagomålsmail/A 26623-2026 FSC-klagomål mail.docx", "A 26623-2026")</f>
        <v/>
      </c>
      <c r="AA20">
        <f>HYPERLINK("https://klasma.github.io/Logging_0139/tillsyn/A 26623-2026 tillsynsbegäran.docx", "A 26623-2026")</f>
        <v/>
      </c>
      <c r="AB20">
        <f>HYPERLINK("https://klasma.github.io/Logging_0139/tillsynsmail/A 26623-2026 tillsynsbegäran mail.docx", "A 26623-2026")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46220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Igelkott</t>
        </is>
      </c>
      <c r="V21">
        <f>HYPERLINK("https://klasma.github.io/Logging_0139/artfynd/A 26637-2026 artfynd.xlsx", "A 26637-2026")</f>
        <v/>
      </c>
      <c r="W21">
        <f>HYPERLINK("https://klasma.github.io/Logging_0139/kartor/A 26637-2026 karta.png", "A 26637-2026")</f>
        <v/>
      </c>
      <c r="Y21">
        <f>HYPERLINK("https://klasma.github.io/Logging_0139/klagomål/A 26637-2026 FSC-klagomål.docx", "A 26637-2026")</f>
        <v/>
      </c>
      <c r="Z21">
        <f>HYPERLINK("https://klasma.github.io/Logging_0139/klagomålsmail/A 26637-2026 FSC-klagomål mail.docx", "A 26637-2026")</f>
        <v/>
      </c>
      <c r="AA21">
        <f>HYPERLINK("https://klasma.github.io/Logging_0139/tillsyn/A 26637-2026 tillsynsbegäran.docx", "A 26637-2026")</f>
        <v/>
      </c>
      <c r="AB21">
        <f>HYPERLINK("https://klasma.github.io/Logging_0139/tillsynsmail/A 26637-2026 tillsynsbegäran mail.docx", "A 26637-2026")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46220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Skogsalmsdvärgmal</t>
        </is>
      </c>
      <c r="V22">
        <f>HYPERLINK("https://klasma.github.io/Logging_0139/artfynd/A 64098-2023 artfynd.xlsx", "A 64098-2023")</f>
        <v/>
      </c>
      <c r="W22">
        <f>HYPERLINK("https://klasma.github.io/Logging_0139/kartor/A 64098-2023 karta.png", "A 64098-2023")</f>
        <v/>
      </c>
      <c r="Y22">
        <f>HYPERLINK("https://klasma.github.io/Logging_0139/klagomål/A 64098-2023 FSC-klagomål.docx", "A 64098-2023")</f>
        <v/>
      </c>
      <c r="Z22">
        <f>HYPERLINK("https://klasma.github.io/Logging_0139/klagomålsmail/A 64098-2023 FSC-klagomål mail.docx", "A 64098-2023")</f>
        <v/>
      </c>
      <c r="AA22">
        <f>HYPERLINK("https://klasma.github.io/Logging_0139/tillsyn/A 64098-2023 tillsynsbegäran.docx", "A 64098-2023")</f>
        <v/>
      </c>
      <c r="AB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46220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Mindre hackspett</t>
        </is>
      </c>
      <c r="V23">
        <f>HYPERLINK("https://klasma.github.io/Logging_0139/artfynd/A 2062-2025 artfynd.xlsx", "A 2062-2025")</f>
        <v/>
      </c>
      <c r="W23">
        <f>HYPERLINK("https://klasma.github.io/Logging_0139/kartor/A 2062-2025 karta.png", "A 2062-2025")</f>
        <v/>
      </c>
      <c r="Y23">
        <f>HYPERLINK("https://klasma.github.io/Logging_0139/klagomål/A 2062-2025 FSC-klagomål.docx", "A 2062-2025")</f>
        <v/>
      </c>
      <c r="Z23">
        <f>HYPERLINK("https://klasma.github.io/Logging_0139/klagomålsmail/A 2062-2025 FSC-klagomål mail.docx", "A 2062-2025")</f>
        <v/>
      </c>
      <c r="AA23">
        <f>HYPERLINK("https://klasma.github.io/Logging_0139/tillsyn/A 2062-2025 tillsynsbegäran.docx", "A 2062-2025")</f>
        <v/>
      </c>
      <c r="AB23">
        <f>HYPERLINK("https://klasma.github.io/Logging_0139/tillsynsmail/A 2062-2025 tillsynsbegäran mail.docx", "A 2062-2025")</f>
        <v/>
      </c>
      <c r="AC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46220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Korskovall</t>
        </is>
      </c>
      <c r="V24">
        <f>HYPERLINK("https://klasma.github.io/Logging_0139/artfynd/S 10446-2021 artfynd.xlsx", "S 10446-2021")</f>
        <v/>
      </c>
      <c r="W24">
        <f>HYPERLINK("https://klasma.github.io/Logging_0139/kartor/S 10446-2021 karta.png", "S 10446-2021")</f>
        <v/>
      </c>
      <c r="Y24">
        <f>HYPERLINK("https://klasma.github.io/Logging_0139/klagomål/S 10446-2021 FSC-klagomål.docx", "S 10446-2021")</f>
        <v/>
      </c>
      <c r="Z24">
        <f>HYPERLINK("https://klasma.github.io/Logging_0139/klagomålsmail/S 10446-2021 FSC-klagomål mail.docx", "S 10446-2021")</f>
        <v/>
      </c>
      <c r="AA24">
        <f>HYPERLINK("https://klasma.github.io/Logging_0139/tillsyn/S 10446-2021 tillsynsbegäran.docx", "S 10446-2021")</f>
        <v/>
      </c>
      <c r="AB24">
        <f>HYPERLINK("https://klasma.github.io/Logging_0139/tillsynsmail/S 10446-2021 tillsynsbegäran mail.docx", "S 10446-2021")</f>
        <v/>
      </c>
    </row>
    <row r="25" ht="15" customHeight="1">
      <c r="A25" t="inlineStr">
        <is>
          <t>A 37421-2021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44397</v>
      </c>
      <c r="E25" s="1" t="n">
        <v>46220</v>
      </c>
      <c r="F25" t="inlineStr">
        <is>
          <t>STOCKHOLMS LÄN</t>
        </is>
      </c>
      <c r="G25" t="inlineStr">
        <is>
          <t>UPPLANDS-BRO</t>
        </is>
      </c>
      <c r="H25" t="inlineStr">
        <is>
          <t>Allmännings- och besparingsskogar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41465-2021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44424</v>
      </c>
      <c r="E26" s="1" t="n">
        <v>46220</v>
      </c>
      <c r="F26" t="inlineStr">
        <is>
          <t>STOCKHOLMS LÄN</t>
        </is>
      </c>
      <c r="G26" t="inlineStr">
        <is>
          <t>UPPLANDS-BRO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8261-2022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44609</v>
      </c>
      <c r="E27" s="1" t="n">
        <v>46220</v>
      </c>
      <c r="F27" t="inlineStr">
        <is>
          <t>STOCKHOLMS LÄN</t>
        </is>
      </c>
      <c r="G27" t="inlineStr">
        <is>
          <t>UPPLANDS-BRO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58663-2021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46220</v>
      </c>
      <c r="F28" t="inlineStr">
        <is>
          <t>STOCKHOLMS LÄN</t>
        </is>
      </c>
      <c r="G28" t="inlineStr">
        <is>
          <t>UPPLANDS-BRO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72523-2021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46220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46244-2021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46220</v>
      </c>
      <c r="F30" t="inlineStr">
        <is>
          <t>STOCKHOLMS LÄN</t>
        </is>
      </c>
      <c r="G30" t="inlineStr">
        <is>
          <t>UPPLANDS-BRO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20604-2022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46220</v>
      </c>
      <c r="F31" t="inlineStr">
        <is>
          <t>STOCKHOLMS LÄN</t>
        </is>
      </c>
      <c r="G31" t="inlineStr">
        <is>
          <t>UPPLANDS-BRO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44587</v>
      </c>
      <c r="E32" s="1" t="n">
        <v>46220</v>
      </c>
      <c r="F32" t="inlineStr">
        <is>
          <t>STOCKHOLMS LÄN</t>
        </is>
      </c>
      <c r="G32" t="inlineStr">
        <is>
          <t>UPPLANDS-BRO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41463-2021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44424</v>
      </c>
      <c r="E33" s="1" t="n">
        <v>46220</v>
      </c>
      <c r="F33" t="inlineStr">
        <is>
          <t>STOCKHOLMS LÄN</t>
        </is>
      </c>
      <c r="G33" t="inlineStr">
        <is>
          <t>UPPLANDS-BRO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31160-2022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44770</v>
      </c>
      <c r="E34" s="1" t="n">
        <v>46220</v>
      </c>
      <c r="F34" t="inlineStr">
        <is>
          <t>STOCKHOLMS LÄN</t>
        </is>
      </c>
      <c r="G34" t="inlineStr">
        <is>
          <t>UPPLANDS-BRO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14719-2022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46220</v>
      </c>
      <c r="F35" t="inlineStr">
        <is>
          <t>STOCKHOLMS LÄN</t>
        </is>
      </c>
      <c r="G35" t="inlineStr">
        <is>
          <t>UPPLANDS-BRO</t>
        </is>
      </c>
      <c r="H35" t="inlineStr">
        <is>
          <t>Allmännings- och besparingsskogar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64105-2023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45279</v>
      </c>
      <c r="E36" s="1" t="n">
        <v>46220</v>
      </c>
      <c r="F36" t="inlineStr">
        <is>
          <t>STOCKHOLMS LÄN</t>
        </is>
      </c>
      <c r="G36" t="inlineStr">
        <is>
          <t>UPPLANDS-BRO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45313</v>
      </c>
      <c r="E37" s="1" t="n">
        <v>46220</v>
      </c>
      <c r="F37" t="inlineStr">
        <is>
          <t>STOCKHOLMS LÄN</t>
        </is>
      </c>
      <c r="G37" t="inlineStr">
        <is>
          <t>UPPLANDS-BRO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59844-2022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46220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44950</v>
      </c>
      <c r="E39" s="1" t="n">
        <v>46220</v>
      </c>
      <c r="F39" t="inlineStr">
        <is>
          <t>STOCKHOLMS LÄN</t>
        </is>
      </c>
      <c r="G39" t="inlineStr">
        <is>
          <t>UPPLANDS-BRO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23093-2024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46220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54222-2023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46220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2046-2026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46220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7860-2024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46220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27313-2023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46220</v>
      </c>
      <c r="F44" t="inlineStr">
        <is>
          <t>STOCKHOLMS LÄN</t>
        </is>
      </c>
      <c r="G44" t="inlineStr">
        <is>
          <t>UPPLANDS-BRO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64114-2023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45279</v>
      </c>
      <c r="E45" s="1" t="n">
        <v>46220</v>
      </c>
      <c r="F45" t="inlineStr">
        <is>
          <t>STOCKHOLMS LÄN</t>
        </is>
      </c>
      <c r="G45" t="inlineStr">
        <is>
          <t>UPPLANDS-BRO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46220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50294-2023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46220</v>
      </c>
      <c r="F47" t="inlineStr">
        <is>
          <t>STOCKHOLMS LÄN</t>
        </is>
      </c>
      <c r="G47" t="inlineStr">
        <is>
          <t>UPPLANDS-BRO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58011-2021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46220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49622-2021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46220</v>
      </c>
      <c r="F49" t="inlineStr">
        <is>
          <t>STOCKHOLMS LÄN</t>
        </is>
      </c>
      <c r="G49" t="inlineStr">
        <is>
          <t>UPPLANDS-BRO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9655-2026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46220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17.2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64110-2023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46220</v>
      </c>
      <c r="F51" t="inlineStr">
        <is>
          <t>STOCKHOLMS LÄN</t>
        </is>
      </c>
      <c r="G51" t="inlineStr">
        <is>
          <t>UPPLANDS-BRO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23098-2024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45450</v>
      </c>
      <c r="E52" s="1" t="n">
        <v>46220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59377-2024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46220</v>
      </c>
      <c r="F53" t="inlineStr">
        <is>
          <t>STOCKHOLMS LÄN</t>
        </is>
      </c>
      <c r="G53" t="inlineStr">
        <is>
          <t>UPPLANDS-BRO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59402-2022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44906</v>
      </c>
      <c r="E54" s="1" t="n">
        <v>46220</v>
      </c>
      <c r="F54" t="inlineStr">
        <is>
          <t>STOCKHOLMS LÄN</t>
        </is>
      </c>
      <c r="G54" t="inlineStr">
        <is>
          <t>UPPLANDS-BRO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18778-2026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46220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18813-2026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46220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56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18818-2026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46220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18787-2026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46220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46042</v>
      </c>
      <c r="E59" s="1" t="n">
        <v>46220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44959</v>
      </c>
      <c r="E60" s="1" t="n">
        <v>46220</v>
      </c>
      <c r="F60" t="inlineStr">
        <is>
          <t>STOCKHOLMS LÄN</t>
        </is>
      </c>
      <c r="G60" t="inlineStr">
        <is>
          <t>UPPLANDS-BRO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58598-2025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46220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51587-2023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46220</v>
      </c>
      <c r="F62" t="inlineStr">
        <is>
          <t>STOCKHOLMS LÄN</t>
        </is>
      </c>
      <c r="G62" t="inlineStr">
        <is>
          <t>UPPLANDS-BRO</t>
        </is>
      </c>
      <c r="H62" t="inlineStr">
        <is>
          <t>Allmännings- och besparingsskogar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72524-2021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46220</v>
      </c>
      <c r="F63" t="inlineStr">
        <is>
          <t>STOCKHOLMS LÄN</t>
        </is>
      </c>
      <c r="G63" t="inlineStr">
        <is>
          <t>UPPLANDS-BRO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44953</v>
      </c>
      <c r="E64" s="1" t="n">
        <v>46220</v>
      </c>
      <c r="F64" t="inlineStr">
        <is>
          <t>STOCKHOLMS LÄN</t>
        </is>
      </c>
      <c r="G64" t="inlineStr">
        <is>
          <t>UPPLANDS-BRO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59848-2022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44901</v>
      </c>
      <c r="E65" s="1" t="n">
        <v>46220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26196-2026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46182</v>
      </c>
      <c r="E66" s="1" t="n">
        <v>46220</v>
      </c>
      <c r="F66" t="inlineStr">
        <is>
          <t>STOCKHOLMS LÄN</t>
        </is>
      </c>
      <c r="G66" t="inlineStr">
        <is>
          <t>UPPLANDS-BRO</t>
        </is>
      </c>
      <c r="I66" t="n">
        <v>53.1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26629-2026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46220</v>
      </c>
      <c r="F67" t="inlineStr">
        <is>
          <t>STOCKHOLMS LÄN</t>
        </is>
      </c>
      <c r="G67" t="inlineStr">
        <is>
          <t>UPPLANDS-BRO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26625-2026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46184</v>
      </c>
      <c r="E68" s="1" t="n">
        <v>46220</v>
      </c>
      <c r="F68" t="inlineStr">
        <is>
          <t>STOCKHOLMS LÄN</t>
        </is>
      </c>
      <c r="G68" t="inlineStr">
        <is>
          <t>UPPLANDS-BRO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26633-2026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46220</v>
      </c>
      <c r="F69" t="inlineStr">
        <is>
          <t>STOCKHOLMS LÄN</t>
        </is>
      </c>
      <c r="G69" t="inlineStr">
        <is>
          <t>UPPLANDS-BRO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21206-2026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46146</v>
      </c>
      <c r="E70" s="1" t="n">
        <v>46220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21208-2026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46146</v>
      </c>
      <c r="E71" s="1" t="n">
        <v>46220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59700-2021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46220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28797-2026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46220</v>
      </c>
      <c r="F73" t="inlineStr">
        <is>
          <t>STOCKHOLMS LÄN</t>
        </is>
      </c>
      <c r="G73" t="inlineStr">
        <is>
          <t>UPPLANDS-BRO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28740-2026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46220</v>
      </c>
      <c r="F74" t="inlineStr">
        <is>
          <t>STOCKHOLMS LÄN</t>
        </is>
      </c>
      <c r="G74" t="inlineStr">
        <is>
          <t>UPPLANDS-BRO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40514-2021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44420</v>
      </c>
      <c r="E75" s="1" t="n">
        <v>46220</v>
      </c>
      <c r="F75" t="inlineStr">
        <is>
          <t>STOCKHOLMS LÄN</t>
        </is>
      </c>
      <c r="G75" t="inlineStr">
        <is>
          <t>UPPLANDS-BRO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28735-2026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46198</v>
      </c>
      <c r="E76" s="1" t="n">
        <v>46220</v>
      </c>
      <c r="F76" t="inlineStr">
        <is>
          <t>STOCKHOLMS LÄN</t>
        </is>
      </c>
      <c r="G76" t="inlineStr">
        <is>
          <t>UPPLANDS-BRO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7275-2022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46220</v>
      </c>
      <c r="F77" t="inlineStr">
        <is>
          <t>STOCKHOLMS LÄN</t>
        </is>
      </c>
      <c r="G77" t="inlineStr">
        <is>
          <t>UPPLANDS-BRO</t>
        </is>
      </c>
      <c r="H77" t="inlineStr">
        <is>
          <t>Övriga statliga verk och myndigheter</t>
        </is>
      </c>
      <c r="I77" t="n">
        <v>9.6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24579-2026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46170</v>
      </c>
      <c r="E78" s="1" t="n">
        <v>46220</v>
      </c>
      <c r="F78" t="inlineStr">
        <is>
          <t>STOCKHOLMS LÄN</t>
        </is>
      </c>
      <c r="G78" t="inlineStr">
        <is>
          <t>UPPLANDS-BRO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64107-2023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46220</v>
      </c>
      <c r="F79" t="inlineStr">
        <is>
          <t>STOCKHOLMS LÄN</t>
        </is>
      </c>
      <c r="G79" t="inlineStr">
        <is>
          <t>UPPLANDS-BRO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45701</v>
      </c>
      <c r="E80" s="1" t="n">
        <v>46220</v>
      </c>
      <c r="F80" t="inlineStr">
        <is>
          <t>STOCKHOLMS LÄN</t>
        </is>
      </c>
      <c r="G80" t="inlineStr">
        <is>
          <t>UPPLANDS-BRO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38902-2024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45547</v>
      </c>
      <c r="E81" s="1" t="n">
        <v>46220</v>
      </c>
      <c r="F81" t="inlineStr">
        <is>
          <t>STOCKHOLMS LÄN</t>
        </is>
      </c>
      <c r="G81" t="inlineStr">
        <is>
          <t>UPPLANDS-BRO</t>
        </is>
      </c>
      <c r="H81" t="inlineStr">
        <is>
          <t>Övriga statliga verk och myndigheter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46220</v>
      </c>
      <c r="F82" t="inlineStr">
        <is>
          <t>STOCKHOLMS LÄN</t>
        </is>
      </c>
      <c r="G82" t="inlineStr">
        <is>
          <t>UPPLANDS-BRO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23627-2025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46220</v>
      </c>
      <c r="F83" t="inlineStr">
        <is>
          <t>STOCKHOLMS LÄN</t>
        </is>
      </c>
      <c r="G83" t="inlineStr">
        <is>
          <t>UPPLANDS-BRO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>
      <c r="A84" t="inlineStr">
        <is>
          <t>S 10447-2021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44558</v>
      </c>
      <c r="E84" s="1" t="n">
        <v>46220</v>
      </c>
      <c r="F84" t="inlineStr">
        <is>
          <t>STOCKHOLMS LÄN</t>
        </is>
      </c>
      <c r="G84" t="inlineStr">
        <is>
          <t>UPPLANDS-BRO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2026-07-17T01:42:46Z</dcterms:created>
  <dcterms:modified xmlns:dcterms="http://purl.org/dc/terms/" xmlns:xsi="http://www.w3.org/2001/XMLSchema-instance" xsi:type="dcterms:W3CDTF">2026-07-17T01:42:46Z</dcterms:modified>
</cp:coreProperties>
</file>