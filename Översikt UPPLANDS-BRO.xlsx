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46290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46290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46290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46290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10909-2025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46290</v>
      </c>
      <c r="F6" t="inlineStr">
        <is>
          <t>STOCKHOLMS LÄN</t>
        </is>
      </c>
      <c r="G6" t="inlineStr">
        <is>
          <t>UPPLANDS-BRO</t>
        </is>
      </c>
      <c r="H6" t="inlineStr">
        <is>
          <t>Allmännings- och besparingsskogar</t>
        </is>
      </c>
      <c r="I6" t="n">
        <v>11.2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Arommusseron
Fläcknycklar</t>
        </is>
      </c>
      <c r="W6">
        <f>HYPERLINK("https://klasma.github.io/Logging_0139/artfynd/A 10909-2025 artfynd.xlsx", "A 10909-2025")</f>
        <v/>
      </c>
      <c r="X6">
        <f>HYPERLINK("https://klasma.github.io/Logging_0139/kartor/A 10909-2025 karta.png", "A 10909-2025")</f>
        <v/>
      </c>
      <c r="Y6">
        <f>HYPERLINK("https://klasma.github.io/Logging_0139/kartor_geotiff/A 10909-2025 georefererad karta.tif", "A 10909-2025")</f>
        <v/>
      </c>
      <c r="AA6">
        <f>HYPERLINK("https://klasma.github.io/Logging_0139/klagomål/A 10909-2025 FSC-klagomål.docx", "A 10909-2025")</f>
        <v/>
      </c>
      <c r="AB6">
        <f>HYPERLINK("https://klasma.github.io/Logging_0139/klagomålsmail/A 10909-2025 FSC-klagomål mail.docx", "A 10909-2025")</f>
        <v/>
      </c>
      <c r="AC6">
        <f>HYPERLINK("https://klasma.github.io/Logging_0139/tillsyn/A 10909-2025 tillsynsbegäran.docx", "A 10909-2025")</f>
        <v/>
      </c>
      <c r="AD6">
        <f>HYPERLINK("https://klasma.github.io/Logging_0139/tillsynsmail/A 10909-2025 tillsynsbegäran mail.docx", "A 10909-2025")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46290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46290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46290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46290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46290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Kopparödla</t>
        </is>
      </c>
      <c r="W11">
        <f>HYPERLINK("https://klasma.github.io/Logging_0139/artfynd/A 73773-2021 artfynd.xlsx", "A 73773-2021")</f>
        <v/>
      </c>
      <c r="X11">
        <f>HYPERLINK("https://klasma.github.io/Logging_0139/kartor/A 73773-2021 karta.png", "A 73773-2021")</f>
        <v/>
      </c>
      <c r="Y11">
        <f>HYPERLINK("https://klasma.github.io/Logging_0139/kartor_geotiff/A 73773-2021 georefererad karta.tif", "A 73773-2021")</f>
        <v/>
      </c>
      <c r="AA11">
        <f>HYPERLINK("https://klasma.github.io/Logging_0139/klagomål/A 73773-2021 FSC-klagomål.docx", "A 73773-2021")</f>
        <v/>
      </c>
      <c r="AB11">
        <f>HYPERLINK("https://klasma.github.io/Logging_0139/klagomålsmail/A 73773-2021 FSC-klagomål mail.docx", "A 73773-2021")</f>
        <v/>
      </c>
      <c r="AC11">
        <f>HYPERLINK("https://klasma.github.io/Logging_0139/tillsyn/A 73773-2021 tillsynsbegäran.docx", "A 73773-2021")</f>
        <v/>
      </c>
      <c r="AD11">
        <f>HYPERLINK("https://klasma.github.io/Logging_0139/tillsynsmail/A 73773-2021 tillsynsbegäran mail.docx", "A 73773-2021")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46290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46290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46290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46290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2409-2026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46034</v>
      </c>
      <c r="E16" s="1" t="n">
        <v>46290</v>
      </c>
      <c r="F16" t="inlineStr">
        <is>
          <t>STOCKHOLMS LÄN</t>
        </is>
      </c>
      <c r="G16" t="inlineStr">
        <is>
          <t>UPPLANDS-BRO</t>
        </is>
      </c>
      <c r="I16" t="n">
        <v>14.2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HYPERLINK("https://klasma.github.io/Logging_0139/artfynd/A 2409-2026 artfynd.xlsx", "A 2409-2026")</f>
        <v/>
      </c>
      <c r="X16">
        <f>HYPERLINK("https://klasma.github.io/Logging_0139/kartor/A 2409-2026 karta.png", "A 2409-2026")</f>
        <v/>
      </c>
      <c r="Y16">
        <f>HYPERLINK("https://klasma.github.io/Logging_0139/kartor_geotiff/A 2409-2026 georefererad karta.tif", "A 2409-2026")</f>
        <v/>
      </c>
      <c r="AA16">
        <f>HYPERLINK("https://klasma.github.io/Logging_0139/klagomål/A 2409-2026 FSC-klagomål.docx", "A 2409-2026")</f>
        <v/>
      </c>
      <c r="AB16">
        <f>HYPERLINK("https://klasma.github.io/Logging_0139/klagomålsmail/A 2409-2026 FSC-klagomål mail.docx", "A 2409-2026")</f>
        <v/>
      </c>
      <c r="AC16">
        <f>HYPERLINK("https://klasma.github.io/Logging_0139/tillsyn/A 2409-2026 tillsynsbegäran.docx", "A 2409-2026")</f>
        <v/>
      </c>
      <c r="AD16">
        <f>HYPERLINK("https://klasma.github.io/Logging_0139/tillsynsmail/A 2409-2026 tillsynsbegäran mail.docx", "A 2409-2026")</f>
        <v/>
      </c>
      <c r="AE16">
        <f>HYPERLINK("https://klasma.github.io/Logging_0139/fåglar/A 2409-2026 prioriterade fågelarter.docx", "A 2409-2026")</f>
        <v/>
      </c>
    </row>
    <row r="17" ht="15" customHeight="1">
      <c r="A17" t="inlineStr">
        <is>
          <t>A 11447-2025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45726</v>
      </c>
      <c r="E17" s="1" t="n">
        <v>46290</v>
      </c>
      <c r="F17" t="inlineStr">
        <is>
          <t>STOCKHOLMS LÄN</t>
        </is>
      </c>
      <c r="G17" t="inlineStr">
        <is>
          <t>UPPLANDS-BRO</t>
        </is>
      </c>
      <c r="I17" t="n">
        <v>1.5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Myskbock</t>
        </is>
      </c>
      <c r="W17">
        <f>HYPERLINK("https://klasma.github.io/Logging_0139/artfynd/A 11447-2025 artfynd.xlsx", "A 11447-2025")</f>
        <v/>
      </c>
      <c r="X17">
        <f>HYPERLINK("https://klasma.github.io/Logging_0139/kartor/A 11447-2025 karta.png", "A 11447-2025")</f>
        <v/>
      </c>
      <c r="Y17">
        <f>HYPERLINK("https://klasma.github.io/Logging_0139/kartor_geotiff/A 11447-2025 georefererad karta.tif", "A 11447-2025")</f>
        <v/>
      </c>
      <c r="AA17">
        <f>HYPERLINK("https://klasma.github.io/Logging_0139/klagomål/A 11447-2025 FSC-klagomål.docx", "A 11447-2025")</f>
        <v/>
      </c>
      <c r="AB17">
        <f>HYPERLINK("https://klasma.github.io/Logging_0139/klagomålsmail/A 11447-2025 FSC-klagomål mail.docx", "A 11447-2025")</f>
        <v/>
      </c>
      <c r="AC17">
        <f>HYPERLINK("https://klasma.github.io/Logging_0139/tillsyn/A 11447-2025 tillsynsbegäran.docx", "A 11447-2025")</f>
        <v/>
      </c>
      <c r="AD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44973</v>
      </c>
      <c r="E18" s="1" t="n">
        <v>46290</v>
      </c>
      <c r="F18" t="inlineStr">
        <is>
          <t>STOCKHOLMS LÄN</t>
        </is>
      </c>
      <c r="G18" t="inlineStr">
        <is>
          <t>UPPLANDS-BRO</t>
        </is>
      </c>
      <c r="I18" t="n">
        <v>2.9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Bombmurkla</t>
        </is>
      </c>
      <c r="W18">
        <f>HYPERLINK("https://klasma.github.io/Logging_0139/artfynd/A 7955-2023 artfynd.xlsx", "A 7955-2023")</f>
        <v/>
      </c>
      <c r="X18">
        <f>HYPERLINK("https://klasma.github.io/Logging_0139/kartor/A 7955-2023 karta.png", "A 7955-2023")</f>
        <v/>
      </c>
      <c r="Y18">
        <f>HYPERLINK("https://klasma.github.io/Logging_0139/kartor_geotiff/A 7955-2023 georefererad karta.tif", "A 7955-2023")</f>
        <v/>
      </c>
      <c r="AA18">
        <f>HYPERLINK("https://klasma.github.io/Logging_0139/klagomål/A 7955-2023 FSC-klagomål.docx", "A 7955-2023")</f>
        <v/>
      </c>
      <c r="AB18">
        <f>HYPERLINK("https://klasma.github.io/Logging_0139/klagomålsmail/A 7955-2023 FSC-klagomål mail.docx", "A 7955-2023")</f>
        <v/>
      </c>
      <c r="AC18">
        <f>HYPERLINK("https://klasma.github.io/Logging_0139/tillsyn/A 7955-2023 tillsynsbegäran.docx", "A 7955-2023")</f>
        <v/>
      </c>
      <c r="AD18">
        <f>HYPERLINK("https://klasma.github.io/Logging_0139/tillsynsmail/A 7955-2023 tillsynsbegäran mail.docx", "A 7955-2023")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46290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46290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46290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46290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46290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46290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46290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46290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46290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46290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46290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46290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46290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46290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46290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23093-2024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45450</v>
      </c>
      <c r="E34" s="1" t="n">
        <v>46290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44950</v>
      </c>
      <c r="E35" s="1" t="n">
        <v>46290</v>
      </c>
      <c r="F35" t="inlineStr">
        <is>
          <t>STOCKHOLMS LÄN</t>
        </is>
      </c>
      <c r="G35" t="inlineStr">
        <is>
          <t>UPPLANDS-BRO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46290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46290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46290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46290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46290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46290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46290</v>
      </c>
      <c r="F42" t="inlineStr">
        <is>
          <t>STOCKHOLMS LÄN</t>
        </is>
      </c>
      <c r="G42" t="inlineStr">
        <is>
          <t>UPPLANDS-BRO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23098-2024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45450</v>
      </c>
      <c r="E43" s="1" t="n">
        <v>46290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46290</v>
      </c>
      <c r="F44" t="inlineStr">
        <is>
          <t>STOCKHOLMS LÄN</t>
        </is>
      </c>
      <c r="G44" t="inlineStr">
        <is>
          <t>UPPLANDS-BRO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21206-2026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46290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59402-2022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44906</v>
      </c>
      <c r="E46" s="1" t="n">
        <v>46290</v>
      </c>
      <c r="F46" t="inlineStr">
        <is>
          <t>STOCKHOLMS LÄN</t>
        </is>
      </c>
      <c r="G46" t="inlineStr">
        <is>
          <t>UPPLANDS-BRO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46290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46290</v>
      </c>
      <c r="F48" t="inlineStr">
        <is>
          <t>STOCKHOLMS LÄN</t>
        </is>
      </c>
      <c r="G48" t="inlineStr">
        <is>
          <t>UPPLANDS-BRO</t>
        </is>
      </c>
      <c r="H48" t="inlineStr">
        <is>
          <t>Allmännings- och besparingsskogar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46170</v>
      </c>
      <c r="E49" s="1" t="n">
        <v>46290</v>
      </c>
      <c r="F49" t="inlineStr">
        <is>
          <t>STOCKHOLMS LÄN</t>
        </is>
      </c>
      <c r="G49" t="inlineStr">
        <is>
          <t>UPPLANDS-BRO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9655-2026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46290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17.2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44770</v>
      </c>
      <c r="E51" s="1" t="n">
        <v>46290</v>
      </c>
      <c r="F51" t="inlineStr">
        <is>
          <t>STOCKHOLMS LÄN</t>
        </is>
      </c>
      <c r="G51" t="inlineStr">
        <is>
          <t>UPPLANDS-BRO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72524-2021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46290</v>
      </c>
      <c r="F52" t="inlineStr">
        <is>
          <t>STOCKHOLMS LÄN</t>
        </is>
      </c>
      <c r="G52" t="inlineStr">
        <is>
          <t>UPPLANDS-BRO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45986</v>
      </c>
      <c r="E53" s="1" t="n">
        <v>46290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26196-2026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46182</v>
      </c>
      <c r="E54" s="1" t="n">
        <v>46290</v>
      </c>
      <c r="F54" t="inlineStr">
        <is>
          <t>STOCKHOLMS LÄN</t>
        </is>
      </c>
      <c r="G54" t="inlineStr">
        <is>
          <t>UPPLANDS-BRO</t>
        </is>
      </c>
      <c r="I54" t="n">
        <v>53.1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26633-2026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46290</v>
      </c>
      <c r="F55" t="inlineStr">
        <is>
          <t>STOCKHOLMS LÄN</t>
        </is>
      </c>
      <c r="G55" t="inlineStr">
        <is>
          <t>UPPLANDS-BRO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46290</v>
      </c>
      <c r="F56" t="inlineStr">
        <is>
          <t>STOCKHOLMS LÄN</t>
        </is>
      </c>
      <c r="G56" t="inlineStr">
        <is>
          <t>UPPLANDS-BRO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26629-2026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46290</v>
      </c>
      <c r="F57" t="inlineStr">
        <is>
          <t>STOCKHOLMS LÄN</t>
        </is>
      </c>
      <c r="G57" t="inlineStr">
        <is>
          <t>UPPLANDS-BRO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4338-2023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44953</v>
      </c>
      <c r="E58" s="1" t="n">
        <v>46290</v>
      </c>
      <c r="F58" t="inlineStr">
        <is>
          <t>STOCKHOLMS LÄN</t>
        </is>
      </c>
      <c r="G58" t="inlineStr">
        <is>
          <t>UPPLANDS-BRO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46290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46290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18813-2026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46290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46290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17.8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46290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46043</v>
      </c>
      <c r="E64" s="1" t="n">
        <v>46290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46290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46290</v>
      </c>
      <c r="F66" t="inlineStr">
        <is>
          <t>STOCKHOLMS LÄN</t>
        </is>
      </c>
      <c r="G66" t="inlineStr">
        <is>
          <t>UPPLANDS-BRO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28740-2026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46290</v>
      </c>
      <c r="F67" t="inlineStr">
        <is>
          <t>STOCKHOLMS LÄN</t>
        </is>
      </c>
      <c r="G67" t="inlineStr">
        <is>
          <t>UPPLANDS-BRO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46290</v>
      </c>
      <c r="F68" t="inlineStr">
        <is>
          <t>STOCKHOLMS LÄN</t>
        </is>
      </c>
      <c r="G68" t="inlineStr">
        <is>
          <t>UPPLANDS-BRO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31714-2026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46226</v>
      </c>
      <c r="E69" s="1" t="n">
        <v>46290</v>
      </c>
      <c r="F69" t="inlineStr">
        <is>
          <t>STOCKHOLMS LÄN</t>
        </is>
      </c>
      <c r="G69" t="inlineStr">
        <is>
          <t>UPPLANDS-BRO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46290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46290</v>
      </c>
      <c r="F71" t="inlineStr">
        <is>
          <t>STOCKHOLMS LÄN</t>
        </is>
      </c>
      <c r="G71" t="inlineStr">
        <is>
          <t>UPPLANDS-BRO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45701</v>
      </c>
      <c r="E72" s="1" t="n">
        <v>46290</v>
      </c>
      <c r="F72" t="inlineStr">
        <is>
          <t>STOCKHOLMS LÄN</t>
        </is>
      </c>
      <c r="G72" t="inlineStr">
        <is>
          <t>UPPLANDS-BRO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45547</v>
      </c>
      <c r="E73" s="1" t="n">
        <v>46290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46290</v>
      </c>
      <c r="F74" t="inlineStr">
        <is>
          <t>STOCKHOLMS LÄN</t>
        </is>
      </c>
      <c r="G74" t="inlineStr">
        <is>
          <t>UPPLANDS-BRO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46290</v>
      </c>
      <c r="F75" t="inlineStr">
        <is>
          <t>STOCKHOLMS LÄN</t>
        </is>
      </c>
      <c r="G75" t="inlineStr">
        <is>
          <t>UPPLANDS-BRO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33058-2026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46245</v>
      </c>
      <c r="E76" s="1" t="n">
        <v>46290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>
      <c r="A77" t="inlineStr">
        <is>
          <t>S 10447-2021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44558</v>
      </c>
      <c r="E77" s="1" t="n">
        <v>46290</v>
      </c>
      <c r="F77" t="inlineStr">
        <is>
          <t>STOCKHOLMS LÄN</t>
        </is>
      </c>
      <c r="G77" t="inlineStr">
        <is>
          <t>UPPLANDS-BRO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2026-09-25T02:04:41Z</dcterms:created>
  <dcterms:modified xmlns:dcterms="http://purl.org/dc/terms/" xmlns:xsi="http://www.w3.org/2001/XMLSchema-instance" xsi:type="dcterms:W3CDTF">2026-09-25T02:04:41Z</dcterms:modified>
</cp:coreProperties>
</file>