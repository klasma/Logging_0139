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46141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46141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46141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46141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46141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46141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46141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46141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46141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46141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46141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2409-2026</t>
        </is>
      </c>
      <c r="B19" s="1" t="n">
        <v>46034</v>
      </c>
      <c r="C19" s="1" t="n">
        <v>46141</v>
      </c>
      <c r="D19" t="inlineStr">
        <is>
          <t>STOCKHOLMS LÄN</t>
        </is>
      </c>
      <c r="E19" t="inlineStr">
        <is>
          <t>UPPLANDS-BRO</t>
        </is>
      </c>
      <c r="G19" t="n">
        <v>14.2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HYPERLINK("https://klasma.github.io/Logging_0139/artfynd/A 2409-2026 artfynd.xlsx", "A 2409-2026")</f>
        <v/>
      </c>
      <c r="T19">
        <f>HYPERLINK("https://klasma.github.io/Logging_0139/kartor/A 2409-2026 karta.png", "A 2409-2026")</f>
        <v/>
      </c>
      <c r="V19">
        <f>HYPERLINK("https://klasma.github.io/Logging_0139/klagomål/A 2409-2026 FSC-klagomål.docx", "A 2409-2026")</f>
        <v/>
      </c>
      <c r="W19">
        <f>HYPERLINK("https://klasma.github.io/Logging_0139/klagomålsmail/A 2409-2026 FSC-klagomål mail.docx", "A 2409-2026")</f>
        <v/>
      </c>
      <c r="X19">
        <f>HYPERLINK("https://klasma.github.io/Logging_0139/tillsyn/A 2409-2026 tillsynsbegäran.docx", "A 2409-2026")</f>
        <v/>
      </c>
      <c r="Y19">
        <f>HYPERLINK("https://klasma.github.io/Logging_0139/tillsynsmail/A 2409-2026 tillsynsbegäran mail.docx", "A 2409-2026")</f>
        <v/>
      </c>
      <c r="Z19">
        <f>HYPERLINK("https://klasma.github.io/Logging_0139/fåglar/A 2409-2026 prioriterade fågelarter.docx", "A 2409-2026")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46141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46141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46141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46141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46141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46141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46141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46141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46141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3630-2023</t>
        </is>
      </c>
      <c r="B36" s="1" t="n">
        <v>44950</v>
      </c>
      <c r="C36" s="1" t="n">
        <v>46141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46141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46141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10935-2025</t>
        </is>
      </c>
      <c r="B39" s="1" t="n">
        <v>45722</v>
      </c>
      <c r="C39" s="1" t="n">
        <v>46141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46141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46141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46141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46141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46141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51587-2023</t>
        </is>
      </c>
      <c r="B45" s="1" t="n">
        <v>45215</v>
      </c>
      <c r="C45" s="1" t="n">
        <v>46141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46141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46141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7112-2025</t>
        </is>
      </c>
      <c r="B48" s="1" t="n">
        <v>45701</v>
      </c>
      <c r="C48" s="1" t="n">
        <v>46141</v>
      </c>
      <c r="D48" t="inlineStr">
        <is>
          <t>STOCKHOLMS LÄN</t>
        </is>
      </c>
      <c r="E48" t="inlineStr">
        <is>
          <t>UPPLANDS-BRO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72524-2021</t>
        </is>
      </c>
      <c r="B49" s="1" t="n">
        <v>44546</v>
      </c>
      <c r="C49" s="1" t="n">
        <v>46141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46141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27313-2023</t>
        </is>
      </c>
      <c r="B51" s="1" t="n">
        <v>45096</v>
      </c>
      <c r="C51" s="1" t="n">
        <v>46141</v>
      </c>
      <c r="D51" t="inlineStr">
        <is>
          <t>STOCKHOLMS LÄN</t>
        </is>
      </c>
      <c r="E51" t="inlineStr">
        <is>
          <t>UPPLANDS-BRO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46141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64114-2023</t>
        </is>
      </c>
      <c r="B53" s="1" t="n">
        <v>45279</v>
      </c>
      <c r="C53" s="1" t="n">
        <v>46141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12372-2025</t>
        </is>
      </c>
      <c r="B54" s="1" t="n">
        <v>45730.37740740741</v>
      </c>
      <c r="C54" s="1" t="n">
        <v>46141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50294-2023</t>
        </is>
      </c>
      <c r="B55" s="1" t="n">
        <v>45216</v>
      </c>
      <c r="C55" s="1" t="n">
        <v>46141</v>
      </c>
      <c r="D55" t="inlineStr">
        <is>
          <t>STOCKHOLMS LÄN</t>
        </is>
      </c>
      <c r="E55" t="inlineStr">
        <is>
          <t>UPPLANDS-BRO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56756-2021</t>
        </is>
      </c>
      <c r="B56" s="1" t="n">
        <v>44481</v>
      </c>
      <c r="C56" s="1" t="n">
        <v>46141</v>
      </c>
      <c r="D56" t="inlineStr">
        <is>
          <t>STOCKHOLMS LÄN</t>
        </is>
      </c>
      <c r="E56" t="inlineStr">
        <is>
          <t>UPPLANDS-BRO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59848-2022</t>
        </is>
      </c>
      <c r="B57" s="1" t="n">
        <v>44901</v>
      </c>
      <c r="C57" s="1" t="n">
        <v>46141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12363-2025</t>
        </is>
      </c>
      <c r="B58" s="1" t="n">
        <v>45730.37431712963</v>
      </c>
      <c r="C58" s="1" t="n">
        <v>46141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46141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59700-2021</t>
        </is>
      </c>
      <c r="B60" s="1" t="n">
        <v>44494</v>
      </c>
      <c r="C60" s="1" t="n">
        <v>46141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46141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27805-2021</t>
        </is>
      </c>
      <c r="B62" s="1" t="n">
        <v>44354</v>
      </c>
      <c r="C62" s="1" t="n">
        <v>46141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46141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2062-2025</t>
        </is>
      </c>
      <c r="B64" s="1" t="n">
        <v>45671</v>
      </c>
      <c r="C64" s="1" t="n">
        <v>46141</v>
      </c>
      <c r="D64" t="inlineStr">
        <is>
          <t>STOCKHOLMS LÄN</t>
        </is>
      </c>
      <c r="E64" t="inlineStr">
        <is>
          <t>UPPLANDS-BRO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40514-2021</t>
        </is>
      </c>
      <c r="B65" s="1" t="n">
        <v>44420</v>
      </c>
      <c r="C65" s="1" t="n">
        <v>46141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46141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46141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59377-2024</t>
        </is>
      </c>
      <c r="B68" s="1" t="n">
        <v>45638.35164351852</v>
      </c>
      <c r="C68" s="1" t="n">
        <v>46141</v>
      </c>
      <c r="D68" t="inlineStr">
        <is>
          <t>STOCKHOLMS LÄN</t>
        </is>
      </c>
      <c r="E68" t="inlineStr">
        <is>
          <t>UPPLANDS-BRO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46438-2023</t>
        </is>
      </c>
      <c r="B69" s="1" t="n">
        <v>45197</v>
      </c>
      <c r="C69" s="1" t="n">
        <v>46141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23615-2025</t>
        </is>
      </c>
      <c r="B70" s="1" t="n">
        <v>45792.66532407407</v>
      </c>
      <c r="C70" s="1" t="n">
        <v>46141</v>
      </c>
      <c r="D70" t="inlineStr">
        <is>
          <t>STOCKHOLMS LÄN</t>
        </is>
      </c>
      <c r="E70" t="inlineStr">
        <is>
          <t>UPPLANDS-BRO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23627-2025</t>
        </is>
      </c>
      <c r="B71" s="1" t="n">
        <v>45792.67523148148</v>
      </c>
      <c r="C71" s="1" t="n">
        <v>46141</v>
      </c>
      <c r="D71" t="inlineStr">
        <is>
          <t>STOCKHOLMS LÄN</t>
        </is>
      </c>
      <c r="E71" t="inlineStr">
        <is>
          <t>UPPLANDS-BRO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46141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59402-2022</t>
        </is>
      </c>
      <c r="B73" s="1" t="n">
        <v>44906</v>
      </c>
      <c r="C73" s="1" t="n">
        <v>46141</v>
      </c>
      <c r="D73" t="inlineStr">
        <is>
          <t>STOCKHOLMS LÄN</t>
        </is>
      </c>
      <c r="E73" t="inlineStr">
        <is>
          <t>UPPLANDS-BRO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46141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46141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58598-2025</t>
        </is>
      </c>
      <c r="B76" s="1" t="n">
        <v>45986</v>
      </c>
      <c r="C76" s="1" t="n">
        <v>46141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3596-2026</t>
        </is>
      </c>
      <c r="B77" s="1" t="n">
        <v>46042</v>
      </c>
      <c r="C77" s="1" t="n">
        <v>46141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2046-2026</t>
        </is>
      </c>
      <c r="B78" s="1" t="n">
        <v>46031</v>
      </c>
      <c r="C78" s="1" t="n">
        <v>46141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3754-2026</t>
        </is>
      </c>
      <c r="B79" s="1" t="n">
        <v>46043</v>
      </c>
      <c r="C79" s="1" t="n">
        <v>46141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9265-2026</t>
        </is>
      </c>
      <c r="B80" s="1" t="n">
        <v>46069</v>
      </c>
      <c r="C80" s="1" t="n">
        <v>46141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9655-2026</t>
        </is>
      </c>
      <c r="B81" s="1" t="n">
        <v>46070</v>
      </c>
      <c r="C81" s="1" t="n">
        <v>46141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18818-2026</t>
        </is>
      </c>
      <c r="B82" s="1" t="n">
        <v>46128</v>
      </c>
      <c r="C82" s="1" t="n">
        <v>46141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18778-2026</t>
        </is>
      </c>
      <c r="B83" s="1" t="n">
        <v>46128</v>
      </c>
      <c r="C83" s="1" t="n">
        <v>46141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18787-2026</t>
        </is>
      </c>
      <c r="B84" s="1" t="n">
        <v>46128</v>
      </c>
      <c r="C84" s="1" t="n">
        <v>46141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18813-2026</t>
        </is>
      </c>
      <c r="B85" s="1" t="n">
        <v>46128</v>
      </c>
      <c r="C85" s="1" t="n">
        <v>46141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56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2026-04-29T10:54:11Z</dcterms:created>
  <dcterms:modified xmlns:dcterms="http://purl.org/dc/terms/" xmlns:xsi="http://www.w3.org/2001/XMLSchema-instance" xsi:type="dcterms:W3CDTF">2026-04-29T10:54:11Z</dcterms:modified>
</cp:coreProperties>
</file>