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46274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46274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46274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46274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10909-2025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46274</v>
      </c>
      <c r="F6" t="inlineStr">
        <is>
          <t>STOCKHOLMS LÄN</t>
        </is>
      </c>
      <c r="G6" t="inlineStr">
        <is>
          <t>UPPLANDS-BRO</t>
        </is>
      </c>
      <c r="H6" t="inlineStr">
        <is>
          <t>Allmännings- och besparingsskogar</t>
        </is>
      </c>
      <c r="I6" t="n">
        <v>11.2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Arommusseron
Fläcknycklar</t>
        </is>
      </c>
      <c r="W6">
        <f>HYPERLINK("https://klasma.github.io/Logging_0139/artfynd/A 10909-2025 artfynd.xlsx", "A 10909-2025")</f>
        <v/>
      </c>
      <c r="X6">
        <f>HYPERLINK("https://klasma.github.io/Logging_0139/kartor/A 10909-2025 karta.png", "A 10909-2025")</f>
        <v/>
      </c>
      <c r="Y6">
        <f>HYPERLINK("https://klasma.github.io/Logging_0139/kartor_geotiff/A 10909-2025 georefererad karta.tif", "A 10909-2025")</f>
        <v/>
      </c>
      <c r="AA6">
        <f>HYPERLINK("https://klasma.github.io/Logging_0139/klagomål/A 10909-2025 FSC-klagomål.docx", "A 10909-2025")</f>
        <v/>
      </c>
      <c r="AB6">
        <f>HYPERLINK("https://klasma.github.io/Logging_0139/klagomålsmail/A 10909-2025 FSC-klagomål mail.docx", "A 10909-2025")</f>
        <v/>
      </c>
      <c r="AC6">
        <f>HYPERLINK("https://klasma.github.io/Logging_0139/tillsyn/A 10909-2025 tillsynsbegäran.docx", "A 10909-2025")</f>
        <v/>
      </c>
      <c r="AD6">
        <f>HYPERLINK("https://klasma.github.io/Logging_0139/tillsynsmail/A 10909-2025 tillsynsbegäran mail.docx", "A 10909-2025")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46274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46274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46274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46274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46274</v>
      </c>
      <c r="F11" t="inlineStr">
        <is>
          <t>STOCKHOLMS LÄN</t>
        </is>
      </c>
      <c r="G11" t="inlineStr">
        <is>
          <t>UPPLANDS-BRO</t>
        </is>
      </c>
      <c r="I11" t="n">
        <v>1.9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Kopparödla</t>
        </is>
      </c>
      <c r="W11">
        <f>HYPERLINK("https://klasma.github.io/Logging_0139/artfynd/A 73773-2021 artfynd.xlsx", "A 73773-2021")</f>
        <v/>
      </c>
      <c r="X11">
        <f>HYPERLINK("https://klasma.github.io/Logging_0139/kartor/A 73773-2021 karta.png", "A 73773-2021")</f>
        <v/>
      </c>
      <c r="Y11">
        <f>HYPERLINK("https://klasma.github.io/Logging_0139/kartor_geotiff/A 73773-2021 georefererad karta.tif", "A 73773-2021")</f>
        <v/>
      </c>
      <c r="AA11">
        <f>HYPERLINK("https://klasma.github.io/Logging_0139/klagomål/A 73773-2021 FSC-klagomål.docx", "A 73773-2021")</f>
        <v/>
      </c>
      <c r="AB11">
        <f>HYPERLINK("https://klasma.github.io/Logging_0139/klagomålsmail/A 73773-2021 FSC-klagomål mail.docx", "A 73773-2021")</f>
        <v/>
      </c>
      <c r="AC11">
        <f>HYPERLINK("https://klasma.github.io/Logging_0139/tillsyn/A 73773-2021 tillsynsbegäran.docx", "A 73773-2021")</f>
        <v/>
      </c>
      <c r="AD11">
        <f>HYPERLINK("https://klasma.github.io/Logging_0139/tillsynsmail/A 73773-2021 tillsynsbegäran mail.docx", "A 73773-2021")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46274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53357-2025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45959</v>
      </c>
      <c r="E13" s="1" t="n">
        <v>46274</v>
      </c>
      <c r="F13" t="inlineStr">
        <is>
          <t>STOCKHOLMS LÄN</t>
        </is>
      </c>
      <c r="G13" t="inlineStr">
        <is>
          <t>UPPLANDS-BRO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Bombmurkla</t>
        </is>
      </c>
      <c r="W13">
        <f>HYPERLINK("https://klasma.github.io/Logging_0139/artfynd/A 53357-2025 artfynd.xlsx", "A 53357-2025")</f>
        <v/>
      </c>
      <c r="X13">
        <f>HYPERLINK("https://klasma.github.io/Logging_0139/kartor/A 53357-2025 karta.png", "A 53357-2025")</f>
        <v/>
      </c>
      <c r="Y13">
        <f>HYPERLINK("https://klasma.github.io/Logging_0139/kartor_geotiff/A 53357-2025 georefererad karta.tif", "A 53357-2025")</f>
        <v/>
      </c>
      <c r="AA13">
        <f>HYPERLINK("https://klasma.github.io/Logging_0139/klagomål/A 53357-2025 FSC-klagomål.docx", "A 53357-2025")</f>
        <v/>
      </c>
      <c r="AB13">
        <f>HYPERLINK("https://klasma.github.io/Logging_0139/klagomålsmail/A 53357-2025 FSC-klagomål mail.docx", "A 53357-2025")</f>
        <v/>
      </c>
      <c r="AC13">
        <f>HYPERLINK("https://klasma.github.io/Logging_0139/tillsyn/A 53357-2025 tillsynsbegäran.docx", "A 53357-2025")</f>
        <v/>
      </c>
      <c r="AD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46274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46274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26637-2026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46274</v>
      </c>
      <c r="F16" t="inlineStr">
        <is>
          <t>STOCKHOLMS LÄN</t>
        </is>
      </c>
      <c r="G16" t="inlineStr">
        <is>
          <t>UPPLANDS-BRO</t>
        </is>
      </c>
      <c r="I16" t="n">
        <v>5.4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HYPERLINK("https://klasma.github.io/Logging_0139/artfynd/A 26637-2026 artfynd.xlsx", "A 26637-2026")</f>
        <v/>
      </c>
      <c r="X16">
        <f>HYPERLINK("https://klasma.github.io/Logging_0139/kartor/A 26637-2026 karta.png", "A 26637-2026")</f>
        <v/>
      </c>
      <c r="Y16">
        <f>HYPERLINK("https://klasma.github.io/Logging_0139/kartor_geotiff/A 26637-2026 georefererad karta.tif", "A 26637-2026")</f>
        <v/>
      </c>
      <c r="AA16">
        <f>HYPERLINK("https://klasma.github.io/Logging_0139/klagomål/A 26637-2026 FSC-klagomål.docx", "A 26637-2026")</f>
        <v/>
      </c>
      <c r="AB16">
        <f>HYPERLINK("https://klasma.github.io/Logging_0139/klagomålsmail/A 26637-2026 FSC-klagomål mail.docx", "A 26637-2026")</f>
        <v/>
      </c>
      <c r="AC16">
        <f>HYPERLINK("https://klasma.github.io/Logging_0139/tillsyn/A 26637-2026 tillsynsbegäran.docx", "A 26637-2026")</f>
        <v/>
      </c>
      <c r="AD16">
        <f>HYPERLINK("https://klasma.github.io/Logging_0139/tillsynsmail/A 26637-2026 tillsynsbegäran mail.docx", "A 26637-2026")</f>
        <v/>
      </c>
    </row>
    <row r="17" ht="15" customHeight="1">
      <c r="A17" t="inlineStr">
        <is>
          <t>A 26623-2026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46274</v>
      </c>
      <c r="F17" t="inlineStr">
        <is>
          <t>STOCKHOLMS LÄN</t>
        </is>
      </c>
      <c r="G17" t="inlineStr">
        <is>
          <t>UPPLANDS-BRO</t>
        </is>
      </c>
      <c r="I17" t="n">
        <v>4.6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Svartöra</t>
        </is>
      </c>
      <c r="W17">
        <f>HYPERLINK("https://klasma.github.io/Logging_0139/artfynd/A 26623-2026 artfynd.xlsx", "A 26623-2026")</f>
        <v/>
      </c>
      <c r="X17">
        <f>HYPERLINK("https://klasma.github.io/Logging_0139/kartor/A 26623-2026 karta.png", "A 26623-2026")</f>
        <v/>
      </c>
      <c r="Y17">
        <f>HYPERLINK("https://klasma.github.io/Logging_0139/kartor_geotiff/A 26623-2026 georefererad karta.tif", "A 26623-2026")</f>
        <v/>
      </c>
      <c r="AA17">
        <f>HYPERLINK("https://klasma.github.io/Logging_0139/klagomål/A 26623-2026 FSC-klagomål.docx", "A 26623-2026")</f>
        <v/>
      </c>
      <c r="AB17">
        <f>HYPERLINK("https://klasma.github.io/Logging_0139/klagomålsmail/A 26623-2026 FSC-klagomål mail.docx", "A 26623-2026")</f>
        <v/>
      </c>
      <c r="AC17">
        <f>HYPERLINK("https://klasma.github.io/Logging_0139/tillsyn/A 26623-2026 tillsynsbegäran.docx", "A 26623-2026")</f>
        <v/>
      </c>
      <c r="AD17">
        <f>HYPERLINK("https://klasma.github.io/Logging_0139/tillsynsmail/A 26623-2026 tillsynsbegäran mail.docx", "A 26623-2026")</f>
        <v/>
      </c>
    </row>
    <row r="18" ht="15" customHeight="1">
      <c r="A18" t="inlineStr">
        <is>
          <t>A 2409-2026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46034</v>
      </c>
      <c r="E18" s="1" t="n">
        <v>46274</v>
      </c>
      <c r="F18" t="inlineStr">
        <is>
          <t>STOCKHOLMS LÄN</t>
        </is>
      </c>
      <c r="G18" t="inlineStr">
        <is>
          <t>UPPLANDS-BRO</t>
        </is>
      </c>
      <c r="I18" t="n">
        <v>14.2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HYPERLINK("https://klasma.github.io/Logging_0139/artfynd/A 2409-2026 artfynd.xlsx", "A 2409-2026")</f>
        <v/>
      </c>
      <c r="X18">
        <f>HYPERLINK("https://klasma.github.io/Logging_0139/kartor/A 2409-2026 karta.png", "A 2409-2026")</f>
        <v/>
      </c>
      <c r="Y18">
        <f>HYPERLINK("https://klasma.github.io/Logging_0139/kartor_geotiff/A 2409-2026 georefererad karta.tif", "A 2409-2026")</f>
        <v/>
      </c>
      <c r="AA18">
        <f>HYPERLINK("https://klasma.github.io/Logging_0139/klagomål/A 2409-2026 FSC-klagomål.docx", "A 2409-2026")</f>
        <v/>
      </c>
      <c r="AB18">
        <f>HYPERLINK("https://klasma.github.io/Logging_0139/klagomålsmail/A 2409-2026 FSC-klagomål mail.docx", "A 2409-2026")</f>
        <v/>
      </c>
      <c r="AC18">
        <f>HYPERLINK("https://klasma.github.io/Logging_0139/tillsyn/A 2409-2026 tillsynsbegäran.docx", "A 2409-2026")</f>
        <v/>
      </c>
      <c r="AD18">
        <f>HYPERLINK("https://klasma.github.io/Logging_0139/tillsynsmail/A 2409-2026 tillsynsbegäran mail.docx", "A 2409-2026")</f>
        <v/>
      </c>
      <c r="AE18">
        <f>HYPERLINK("https://klasma.github.io/Logging_0139/fåglar/A 2409-2026 prioriterade fågelarter.docx", "A 2409-2026")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46274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Myskbock</t>
        </is>
      </c>
      <c r="W19">
        <f>HYPERLINK("https://klasma.github.io/Logging_0139/artfynd/A 11447-2025 artfynd.xlsx", "A 11447-2025")</f>
        <v/>
      </c>
      <c r="X19">
        <f>HYPERLINK("https://klasma.github.io/Logging_0139/kartor/A 11447-2025 karta.png", "A 11447-2025")</f>
        <v/>
      </c>
      <c r="Y19">
        <f>HYPERLINK("https://klasma.github.io/Logging_0139/kartor_geotiff/A 11447-2025 georefererad karta.tif", "A 11447-2025")</f>
        <v/>
      </c>
      <c r="AA19">
        <f>HYPERLINK("https://klasma.github.io/Logging_0139/klagomål/A 11447-2025 FSC-klagomål.docx", "A 11447-2025")</f>
        <v/>
      </c>
      <c r="AB19">
        <f>HYPERLINK("https://klasma.github.io/Logging_0139/klagomålsmail/A 11447-2025 FSC-klagomål mail.docx", "A 11447-2025")</f>
        <v/>
      </c>
      <c r="AC19">
        <f>HYPERLINK("https://klasma.github.io/Logging_0139/tillsyn/A 11447-2025 tillsynsbegäran.docx", "A 11447-2025")</f>
        <v/>
      </c>
      <c r="AD19">
        <f>HYPERLINK("https://klasma.github.io/Logging_0139/tillsynsmail/A 11447-2025 tillsynsbegäran mail.docx", "A 11447-2025")</f>
        <v/>
      </c>
    </row>
    <row r="20" ht="15" customHeight="1">
      <c r="A20" t="inlineStr">
        <is>
          <t>A 7955-2023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46274</v>
      </c>
      <c r="F20" t="inlineStr">
        <is>
          <t>STOCKHOLMS LÄN</t>
        </is>
      </c>
      <c r="G20" t="inlineStr">
        <is>
          <t>UPPLANDS-BRO</t>
        </is>
      </c>
      <c r="I20" t="n">
        <v>2.9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Bombmurkla</t>
        </is>
      </c>
      <c r="W20">
        <f>HYPERLINK("https://klasma.github.io/Logging_0139/artfynd/A 7955-2023 artfynd.xlsx", "A 7955-2023")</f>
        <v/>
      </c>
      <c r="X20">
        <f>HYPERLINK("https://klasma.github.io/Logging_0139/kartor/A 7955-2023 karta.png", "A 7955-2023")</f>
        <v/>
      </c>
      <c r="Y20">
        <f>HYPERLINK("https://klasma.github.io/Logging_0139/kartor_geotiff/A 7955-2023 georefererad karta.tif", "A 7955-2023")</f>
        <v/>
      </c>
      <c r="AA20">
        <f>HYPERLINK("https://klasma.github.io/Logging_0139/klagomål/A 7955-2023 FSC-klagomål.docx", "A 7955-2023")</f>
        <v/>
      </c>
      <c r="AB20">
        <f>HYPERLINK("https://klasma.github.io/Logging_0139/klagomålsmail/A 7955-2023 FSC-klagomål mail.docx", "A 7955-2023")</f>
        <v/>
      </c>
      <c r="AC20">
        <f>HYPERLINK("https://klasma.github.io/Logging_0139/tillsyn/A 7955-2023 tillsynsbegäran.docx", "A 7955-2023")</f>
        <v/>
      </c>
      <c r="AD20">
        <f>HYPERLINK("https://klasma.github.io/Logging_0139/tillsynsmail/A 7955-2023 tillsynsbegäran mail.docx", "A 7955-2023")</f>
        <v/>
      </c>
    </row>
    <row r="21" ht="15" customHeight="1">
      <c r="A21" t="inlineStr">
        <is>
          <t>A 64098-2023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46274</v>
      </c>
      <c r="F21" t="inlineStr">
        <is>
          <t>STOCKHOLMS LÄN</t>
        </is>
      </c>
      <c r="G21" t="inlineStr">
        <is>
          <t>UPPLANDS-BRO</t>
        </is>
      </c>
      <c r="I21" t="n">
        <v>0.3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Skogsalmsdvärgmal</t>
        </is>
      </c>
      <c r="W21">
        <f>HYPERLINK("https://klasma.github.io/Logging_0139/artfynd/A 64098-2023 artfynd.xlsx", "A 64098-2023")</f>
        <v/>
      </c>
      <c r="X21">
        <f>HYPERLINK("https://klasma.github.io/Logging_0139/kartor/A 64098-2023 karta.png", "A 64098-2023")</f>
        <v/>
      </c>
      <c r="Y21">
        <f>HYPERLINK("https://klasma.github.io/Logging_0139/kartor_geotiff/A 64098-2023 georefererad karta.tif", "A 64098-2023")</f>
        <v/>
      </c>
      <c r="AA21">
        <f>HYPERLINK("https://klasma.github.io/Logging_0139/klagomål/A 64098-2023 FSC-klagomål.docx", "A 64098-2023")</f>
        <v/>
      </c>
      <c r="AB21">
        <f>HYPERLINK("https://klasma.github.io/Logging_0139/klagomålsmail/A 64098-2023 FSC-klagomål mail.docx", "A 64098-2023")</f>
        <v/>
      </c>
      <c r="AC21">
        <f>HYPERLINK("https://klasma.github.io/Logging_0139/tillsyn/A 64098-2023 tillsynsbegäran.docx", "A 64098-2023")</f>
        <v/>
      </c>
      <c r="AD21">
        <f>HYPERLINK("https://klasma.github.io/Logging_0139/tillsynsmail/A 64098-2023 tillsynsbegäran mail.docx", "A 64098-2023")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46274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46274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46274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46274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46274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46274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46274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46274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46274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64105-2023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46274</v>
      </c>
      <c r="F31" t="inlineStr">
        <is>
          <t>STOCKHOLMS LÄN</t>
        </is>
      </c>
      <c r="G31" t="inlineStr">
        <is>
          <t>UPPLANDS-BRO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46274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46274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23093-2024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45450</v>
      </c>
      <c r="E34" s="1" t="n">
        <v>46274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44950</v>
      </c>
      <c r="E35" s="1" t="n">
        <v>46274</v>
      </c>
      <c r="F35" t="inlineStr">
        <is>
          <t>STOCKHOLMS LÄN</t>
        </is>
      </c>
      <c r="G35" t="inlineStr">
        <is>
          <t>UPPLANDS-BRO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46274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46274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46274</v>
      </c>
      <c r="F38" t="inlineStr">
        <is>
          <t>STOCKHOLMS LÄN</t>
        </is>
      </c>
      <c r="G38" t="inlineStr">
        <is>
          <t>UPPLANDS-BRO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46274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50294-2023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46274</v>
      </c>
      <c r="F40" t="inlineStr">
        <is>
          <t>STOCKHOLMS LÄN</t>
        </is>
      </c>
      <c r="G40" t="inlineStr">
        <is>
          <t>UPPLANDS-BRO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58011-2021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44487</v>
      </c>
      <c r="E41" s="1" t="n">
        <v>46274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49622-2021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44455</v>
      </c>
      <c r="E42" s="1" t="n">
        <v>46274</v>
      </c>
      <c r="F42" t="inlineStr">
        <is>
          <t>STOCKHOLMS LÄN</t>
        </is>
      </c>
      <c r="G42" t="inlineStr">
        <is>
          <t>UPPLANDS-BRO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21206-2026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46274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24579-2026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46274</v>
      </c>
      <c r="F44" t="inlineStr">
        <is>
          <t>STOCKHOLMS LÄN</t>
        </is>
      </c>
      <c r="G44" t="inlineStr">
        <is>
          <t>UPPLANDS-BRO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64110-2023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45279</v>
      </c>
      <c r="E45" s="1" t="n">
        <v>46274</v>
      </c>
      <c r="F45" t="inlineStr">
        <is>
          <t>STOCKHOLMS LÄN</t>
        </is>
      </c>
      <c r="G45" t="inlineStr">
        <is>
          <t>UPPLANDS-BRO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45450</v>
      </c>
      <c r="E46" s="1" t="n">
        <v>46274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44770</v>
      </c>
      <c r="E47" s="1" t="n">
        <v>46274</v>
      </c>
      <c r="F47" t="inlineStr">
        <is>
          <t>STOCKHOLMS LÄN</t>
        </is>
      </c>
      <c r="G47" t="inlineStr">
        <is>
          <t>UPPLANDS-BRO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58598-2025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45986</v>
      </c>
      <c r="E48" s="1" t="n">
        <v>46274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46274</v>
      </c>
      <c r="F49" t="inlineStr">
        <is>
          <t>STOCKHOLMS LÄN</t>
        </is>
      </c>
      <c r="G49" t="inlineStr">
        <is>
          <t>UPPLANDS-BRO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26196-2026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46182</v>
      </c>
      <c r="E50" s="1" t="n">
        <v>46274</v>
      </c>
      <c r="F50" t="inlineStr">
        <is>
          <t>STOCKHOLMS LÄN</t>
        </is>
      </c>
      <c r="G50" t="inlineStr">
        <is>
          <t>UPPLANDS-BRO</t>
        </is>
      </c>
      <c r="I50" t="n">
        <v>53.1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46274</v>
      </c>
      <c r="F51" t="inlineStr">
        <is>
          <t>STOCKHOLMS LÄN</t>
        </is>
      </c>
      <c r="G51" t="inlineStr">
        <is>
          <t>UPPLANDS-BRO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26625-2026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46274</v>
      </c>
      <c r="F52" t="inlineStr">
        <is>
          <t>STOCKHOLMS LÄN</t>
        </is>
      </c>
      <c r="G52" t="inlineStr">
        <is>
          <t>UPPLANDS-BRO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26629-2026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46184</v>
      </c>
      <c r="E53" s="1" t="n">
        <v>46274</v>
      </c>
      <c r="F53" t="inlineStr">
        <is>
          <t>STOCKHOLMS LÄN</t>
        </is>
      </c>
      <c r="G53" t="inlineStr">
        <is>
          <t>UPPLANDS-BRO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46043</v>
      </c>
      <c r="E54" s="1" t="n">
        <v>46274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59402-2022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44906</v>
      </c>
      <c r="E55" s="1" t="n">
        <v>46274</v>
      </c>
      <c r="F55" t="inlineStr">
        <is>
          <t>STOCKHOLMS LÄN</t>
        </is>
      </c>
      <c r="G55" t="inlineStr">
        <is>
          <t>UPPLANDS-BRO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46274</v>
      </c>
      <c r="F56" t="inlineStr">
        <is>
          <t>STOCKHOLMS LÄN</t>
        </is>
      </c>
      <c r="G56" t="inlineStr">
        <is>
          <t>UPPLANDS-BRO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46274</v>
      </c>
      <c r="F57" t="inlineStr">
        <is>
          <t>STOCKHOLMS LÄN</t>
        </is>
      </c>
      <c r="G57" t="inlineStr">
        <is>
          <t>UPPLANDS-BRO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46274</v>
      </c>
      <c r="F58" t="inlineStr">
        <is>
          <t>STOCKHOLMS LÄN</t>
        </is>
      </c>
      <c r="G58" t="inlineStr">
        <is>
          <t>UPPLANDS-BRO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33058-2026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46245</v>
      </c>
      <c r="E59" s="1" t="n">
        <v>46274</v>
      </c>
      <c r="F59" t="inlineStr">
        <is>
          <t>STOCKHOLMS LÄN</t>
        </is>
      </c>
      <c r="G59" t="inlineStr">
        <is>
          <t>UPPLANDS-BRO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9655-2026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46274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17.2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44959</v>
      </c>
      <c r="E61" s="1" t="n">
        <v>46274</v>
      </c>
      <c r="F61" t="inlineStr">
        <is>
          <t>STOCKHOLMS LÄN</t>
        </is>
      </c>
      <c r="G61" t="inlineStr">
        <is>
          <t>UPPLANDS-BRO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46226</v>
      </c>
      <c r="E62" s="1" t="n">
        <v>46274</v>
      </c>
      <c r="F62" t="inlineStr">
        <is>
          <t>STOCKHOLMS LÄN</t>
        </is>
      </c>
      <c r="G62" t="inlineStr">
        <is>
          <t>UPPLANDS-BRO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46274</v>
      </c>
      <c r="F63" t="inlineStr">
        <is>
          <t>STOCKHOLMS LÄN</t>
        </is>
      </c>
      <c r="G63" t="inlineStr">
        <is>
          <t>UPPLANDS-BRO</t>
        </is>
      </c>
      <c r="H63" t="inlineStr">
        <is>
          <t>Allmännings- och besparingsskogar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46274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18813-2026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46274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56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18818-2026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46274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17.8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46274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7.8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72524-2021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44546</v>
      </c>
      <c r="E68" s="1" t="n">
        <v>46274</v>
      </c>
      <c r="F68" t="inlineStr">
        <is>
          <t>STOCKHOLMS LÄN</t>
        </is>
      </c>
      <c r="G68" t="inlineStr">
        <is>
          <t>UPPLANDS-BRO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4338-2023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44953</v>
      </c>
      <c r="E69" s="1" t="n">
        <v>46274</v>
      </c>
      <c r="F69" t="inlineStr">
        <is>
          <t>STOCKHOLMS LÄN</t>
        </is>
      </c>
      <c r="G69" t="inlineStr">
        <is>
          <t>UPPLANDS-BRO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44901</v>
      </c>
      <c r="E70" s="1" t="n">
        <v>46274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10.7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59700-2021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46274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46274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9.6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46274</v>
      </c>
      <c r="F73" t="inlineStr">
        <is>
          <t>STOCKHOLMS LÄN</t>
        </is>
      </c>
      <c r="G73" t="inlineStr">
        <is>
          <t>UPPLANDS-BRO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45701</v>
      </c>
      <c r="E74" s="1" t="n">
        <v>46274</v>
      </c>
      <c r="F74" t="inlineStr">
        <is>
          <t>STOCKHOLMS LÄN</t>
        </is>
      </c>
      <c r="G74" t="inlineStr">
        <is>
          <t>UPPLANDS-BRO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45547</v>
      </c>
      <c r="E75" s="1" t="n">
        <v>46274</v>
      </c>
      <c r="F75" t="inlineStr">
        <is>
          <t>STOCKHOLMS LÄN</t>
        </is>
      </c>
      <c r="G75" t="inlineStr">
        <is>
          <t>UPPLANDS-BRO</t>
        </is>
      </c>
      <c r="H75" t="inlineStr">
        <is>
          <t>Övriga statliga verk och myndigheter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46274</v>
      </c>
      <c r="F76" t="inlineStr">
        <is>
          <t>STOCKHOLMS LÄN</t>
        </is>
      </c>
      <c r="G76" t="inlineStr">
        <is>
          <t>UPPLANDS-BRO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46274</v>
      </c>
      <c r="F77" t="inlineStr">
        <is>
          <t>STOCKHOLMS LÄN</t>
        </is>
      </c>
      <c r="G77" t="inlineStr">
        <is>
          <t>UPPLANDS-BRO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S 10447-2021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44558</v>
      </c>
      <c r="E78" s="1" t="n">
        <v>46274</v>
      </c>
      <c r="F78" t="inlineStr">
        <is>
          <t>STOCKHOLMS LÄN</t>
        </is>
      </c>
      <c r="G78" t="inlineStr">
        <is>
          <t>UPPLANDS-BRO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2026-09-09T02:14:41Z</dcterms:created>
  <dcterms:modified xmlns:dcterms="http://purl.org/dc/terms/" xmlns:xsi="http://www.w3.org/2001/XMLSchema-instance" xsi:type="dcterms:W3CDTF">2026-09-09T02:14:41Z</dcterms:modified>
</cp:coreProperties>
</file>