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46259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46259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46259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46259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46259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46259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46259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46259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46259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46259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64098-2023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45279</v>
      </c>
      <c r="E12" s="1" t="n">
        <v>46259</v>
      </c>
      <c r="F12" t="inlineStr">
        <is>
          <t>STOCKHOLMS LÄN</t>
        </is>
      </c>
      <c r="G12" t="inlineStr">
        <is>
          <t>UPPLANDS-BRO</t>
        </is>
      </c>
      <c r="I12" t="n">
        <v>0.3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Skogsalmsdvärgmal</t>
        </is>
      </c>
      <c r="W12">
        <f>HYPERLINK("https://klasma.github.io/Logging_0139/artfynd/A 64098-2023 artfynd.xlsx", "A 64098-2023")</f>
        <v/>
      </c>
      <c r="X12">
        <f>HYPERLINK("https://klasma.github.io/Logging_0139/kartor/A 64098-2023 karta.png", "A 64098-2023")</f>
        <v/>
      </c>
      <c r="Y12">
        <f>HYPERLINK("https://klasma.github.io/Logging_0139/kartor_geotiff/A 64098-2023 georefererad karta.tif", "A 64098-2023")</f>
        <v/>
      </c>
      <c r="AA12">
        <f>HYPERLINK("https://klasma.github.io/Logging_0139/klagomål/A 64098-2023 FSC-klagomål.docx", "A 64098-2023")</f>
        <v/>
      </c>
      <c r="AB12">
        <f>HYPERLINK("https://klasma.github.io/Logging_0139/klagomålsmail/A 64098-2023 FSC-klagomål mail.docx", "A 64098-2023")</f>
        <v/>
      </c>
      <c r="AC12">
        <f>HYPERLINK("https://klasma.github.io/Logging_0139/tillsyn/A 64098-2023 tillsynsbegäran.docx", "A 64098-2023")</f>
        <v/>
      </c>
      <c r="AD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46259</v>
      </c>
      <c r="F13" t="inlineStr">
        <is>
          <t>STOCKHOLMS LÄN</t>
        </is>
      </c>
      <c r="G13" t="inlineStr">
        <is>
          <t>UPPLANDS-BRO</t>
        </is>
      </c>
      <c r="I13" t="n">
        <v>2.9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Bombmurkla</t>
        </is>
      </c>
      <c r="W13">
        <f>HYPERLINK("https://klasma.github.io/Logging_0139/artfynd/A 7955-2023 artfynd.xlsx", "A 7955-2023")</f>
        <v/>
      </c>
      <c r="X13">
        <f>HYPERLINK("https://klasma.github.io/Logging_0139/kartor/A 7955-2023 karta.png", "A 7955-2023")</f>
        <v/>
      </c>
      <c r="Y13">
        <f>HYPERLINK("https://klasma.github.io/Logging_0139/kartor_geotiff/A 7955-2023 georefererad karta.tif", "A 7955-2023")</f>
        <v/>
      </c>
      <c r="AA13">
        <f>HYPERLINK("https://klasma.github.io/Logging_0139/klagomål/A 7955-2023 FSC-klagomål.docx", "A 7955-2023")</f>
        <v/>
      </c>
      <c r="AB13">
        <f>HYPERLINK("https://klasma.github.io/Logging_0139/klagomålsmail/A 7955-2023 FSC-klagomål mail.docx", "A 7955-2023")</f>
        <v/>
      </c>
      <c r="AC13">
        <f>HYPERLINK("https://klasma.github.io/Logging_0139/tillsyn/A 7955-2023 tillsynsbegäran.docx", "A 7955-2023")</f>
        <v/>
      </c>
      <c r="AD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46259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73773-2021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44552</v>
      </c>
      <c r="E15" s="1" t="n">
        <v>46259</v>
      </c>
      <c r="F15" t="inlineStr">
        <is>
          <t>STOCKHOLMS LÄN</t>
        </is>
      </c>
      <c r="G15" t="inlineStr">
        <is>
          <t>UPPLANDS-BRO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Kopparödla</t>
        </is>
      </c>
      <c r="W15">
        <f>HYPERLINK("https://klasma.github.io/Logging_0139/artfynd/A 73773-2021 artfynd.xlsx", "A 73773-2021")</f>
        <v/>
      </c>
      <c r="X15">
        <f>HYPERLINK("https://klasma.github.io/Logging_0139/kartor/A 73773-2021 karta.png", "A 73773-2021")</f>
        <v/>
      </c>
      <c r="Y15">
        <f>HYPERLINK("https://klasma.github.io/Logging_0139/kartor_geotiff/A 73773-2021 georefererad karta.tif", "A 73773-2021")</f>
        <v/>
      </c>
      <c r="AA15">
        <f>HYPERLINK("https://klasma.github.io/Logging_0139/klagomål/A 73773-2021 FSC-klagomål.docx", "A 73773-2021")</f>
        <v/>
      </c>
      <c r="AB15">
        <f>HYPERLINK("https://klasma.github.io/Logging_0139/klagomålsmail/A 73773-2021 FSC-klagomål mail.docx", "A 73773-2021")</f>
        <v/>
      </c>
      <c r="AC15">
        <f>HYPERLINK("https://klasma.github.io/Logging_0139/tillsyn/A 73773-2021 tillsynsbegäran.docx", "A 73773-2021")</f>
        <v/>
      </c>
      <c r="AD15">
        <f>HYPERLINK("https://klasma.github.io/Logging_0139/tillsynsmail/A 73773-2021 tillsynsbegäran mail.docx", "A 73773-2021")</f>
        <v/>
      </c>
    </row>
    <row r="16" ht="15" customHeight="1">
      <c r="A16" t="inlineStr">
        <is>
          <t>A 46438-2023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46259</v>
      </c>
      <c r="F16" t="inlineStr">
        <is>
          <t>STOCKHOLMS LÄN</t>
        </is>
      </c>
      <c r="G16" t="inlineStr">
        <is>
          <t>UPPLANDS-BRO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46438-2023 artfynd.xlsx", "A 46438-2023")</f>
        <v/>
      </c>
      <c r="X16">
        <f>HYPERLINK("https://klasma.github.io/Logging_0139/kartor/A 46438-2023 karta.png", "A 46438-2023")</f>
        <v/>
      </c>
      <c r="Y16">
        <f>HYPERLINK("https://klasma.github.io/Logging_0139/kartor_geotiff/A 46438-2023 georefererad karta.tif", "A 46438-2023")</f>
        <v/>
      </c>
      <c r="AA16">
        <f>HYPERLINK("https://klasma.github.io/Logging_0139/klagomål/A 46438-2023 FSC-klagomål.docx", "A 46438-2023")</f>
        <v/>
      </c>
      <c r="AB16">
        <f>HYPERLINK("https://klasma.github.io/Logging_0139/klagomålsmail/A 46438-2023 FSC-klagomål mail.docx", "A 46438-2023")</f>
        <v/>
      </c>
      <c r="AC16">
        <f>HYPERLINK("https://klasma.github.io/Logging_0139/tillsyn/A 46438-2023 tillsynsbegäran.docx", "A 46438-2023")</f>
        <v/>
      </c>
      <c r="AD16">
        <f>HYPERLINK("https://klasma.github.io/Logging_0139/tillsynsmail/A 46438-2023 tillsynsbegäran mail.docx", "A 46438-2023")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46259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23099-2024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46259</v>
      </c>
      <c r="F18" t="inlineStr">
        <is>
          <t>STOCKHOLMS LÄN</t>
        </is>
      </c>
      <c r="G18" t="inlineStr">
        <is>
          <t>UPPLANDS-BRO</t>
        </is>
      </c>
      <c r="H18" t="inlineStr">
        <is>
          <t>Övriga statliga verk och myndigheter</t>
        </is>
      </c>
      <c r="I18" t="n">
        <v>0.7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Bredbrämad bastardsvärmare</t>
        </is>
      </c>
      <c r="W18">
        <f>HYPERLINK("https://klasma.github.io/Logging_0139/artfynd/A 23099-2024 artfynd.xlsx", "A 23099-2024")</f>
        <v/>
      </c>
      <c r="X18">
        <f>HYPERLINK("https://klasma.github.io/Logging_0139/kartor/A 23099-2024 karta.png", "A 23099-2024")</f>
        <v/>
      </c>
      <c r="Y18">
        <f>HYPERLINK("https://klasma.github.io/Logging_0139/kartor_geotiff/A 23099-2024 georefererad karta.tif", "A 23099-2024")</f>
        <v/>
      </c>
      <c r="AA18">
        <f>HYPERLINK("https://klasma.github.io/Logging_0139/klagomål/A 23099-2024 FSC-klagomål.docx", "A 23099-2024")</f>
        <v/>
      </c>
      <c r="AB18">
        <f>HYPERLINK("https://klasma.github.io/Logging_0139/klagomålsmail/A 23099-2024 FSC-klagomål mail.docx", "A 23099-2024")</f>
        <v/>
      </c>
      <c r="AC18">
        <f>HYPERLINK("https://klasma.github.io/Logging_0139/tillsyn/A 23099-2024 tillsynsbegäran.docx", "A 23099-2024")</f>
        <v/>
      </c>
      <c r="AD18">
        <f>HYPERLINK("https://klasma.github.io/Logging_0139/tillsynsmail/A 23099-2024 tillsynsbegäran mail.docx", "A 23099-2024")</f>
        <v/>
      </c>
    </row>
    <row r="19" ht="15" customHeight="1">
      <c r="A19" t="inlineStr">
        <is>
          <t>A 53357-2025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45959</v>
      </c>
      <c r="E19" s="1" t="n">
        <v>46259</v>
      </c>
      <c r="F19" t="inlineStr">
        <is>
          <t>STOCKHOLMS LÄN</t>
        </is>
      </c>
      <c r="G19" t="inlineStr">
        <is>
          <t>UPPLANDS-BRO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4</v>
      </c>
      <c r="U19" t="n">
        <v>0</v>
      </c>
      <c r="V19" s="2" t="inlineStr">
        <is>
          <t>Bombmurkla</t>
        </is>
      </c>
      <c r="W19">
        <f>HYPERLINK("https://klasma.github.io/Logging_0139/artfynd/A 53357-2025 artfynd.xlsx", "A 53357-2025")</f>
        <v/>
      </c>
      <c r="X19">
        <f>HYPERLINK("https://klasma.github.io/Logging_0139/kartor/A 53357-2025 karta.png", "A 53357-2025")</f>
        <v/>
      </c>
      <c r="Y19">
        <f>HYPERLINK("https://klasma.github.io/Logging_0139/kartor_geotiff/A 53357-2025 georefererad karta.tif", "A 53357-2025")</f>
        <v/>
      </c>
      <c r="AA19">
        <f>HYPERLINK("https://klasma.github.io/Logging_0139/klagomål/A 53357-2025 FSC-klagomål.docx", "A 53357-2025")</f>
        <v/>
      </c>
      <c r="AB19">
        <f>HYPERLINK("https://klasma.github.io/Logging_0139/klagomålsmail/A 53357-2025 FSC-klagomål mail.docx", "A 53357-2025")</f>
        <v/>
      </c>
      <c r="AC19">
        <f>HYPERLINK("https://klasma.github.io/Logging_0139/tillsyn/A 53357-2025 tillsynsbegäran.docx", "A 53357-2025")</f>
        <v/>
      </c>
      <c r="AD19">
        <f>HYPERLINK("https://klasma.github.io/Logging_0139/tillsynsmail/A 53357-2025 tillsynsbegäran mail.docx", "A 53357-2025")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46259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46259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2409-2026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46034</v>
      </c>
      <c r="E22" s="1" t="n">
        <v>46259</v>
      </c>
      <c r="F22" t="inlineStr">
        <is>
          <t>STOCKHOLMS LÄN</t>
        </is>
      </c>
      <c r="G22" t="inlineStr">
        <is>
          <t>UPPLANDS-BRO</t>
        </is>
      </c>
      <c r="I22" t="n">
        <v>14.2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HYPERLINK("https://klasma.github.io/Logging_0139/artfynd/A 2409-2026 artfynd.xlsx", "A 2409-2026")</f>
        <v/>
      </c>
      <c r="X22">
        <f>HYPERLINK("https://klasma.github.io/Logging_0139/kartor/A 2409-2026 karta.png", "A 2409-2026")</f>
        <v/>
      </c>
      <c r="Y22">
        <f>HYPERLINK("https://klasma.github.io/Logging_0139/kartor_geotiff/A 2409-2026 georefererad karta.tif", "A 2409-2026")</f>
        <v/>
      </c>
      <c r="AA22">
        <f>HYPERLINK("https://klasma.github.io/Logging_0139/klagomål/A 2409-2026 FSC-klagomål.docx", "A 2409-2026")</f>
        <v/>
      </c>
      <c r="AB22">
        <f>HYPERLINK("https://klasma.github.io/Logging_0139/klagomålsmail/A 2409-2026 FSC-klagomål mail.docx", "A 2409-2026")</f>
        <v/>
      </c>
      <c r="AC22">
        <f>HYPERLINK("https://klasma.github.io/Logging_0139/tillsyn/A 2409-2026 tillsynsbegäran.docx", "A 2409-2026")</f>
        <v/>
      </c>
      <c r="AD22">
        <f>HYPERLINK("https://klasma.github.io/Logging_0139/tillsynsmail/A 2409-2026 tillsynsbegäran mail.docx", "A 2409-2026")</f>
        <v/>
      </c>
      <c r="AE22">
        <f>HYPERLINK("https://klasma.github.io/Logging_0139/fåglar/A 2409-2026 prioriterade fågelarter.docx", "A 2409-2026")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46259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46259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46259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46259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46259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44442</v>
      </c>
      <c r="E28" s="1" t="n">
        <v>46259</v>
      </c>
      <c r="F28" t="inlineStr">
        <is>
          <t>STOCKHOLMS LÄN</t>
        </is>
      </c>
      <c r="G28" t="inlineStr">
        <is>
          <t>UPPLANDS-BRO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44700</v>
      </c>
      <c r="E29" s="1" t="n">
        <v>46259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44587</v>
      </c>
      <c r="E30" s="1" t="n">
        <v>46259</v>
      </c>
      <c r="F30" t="inlineStr">
        <is>
          <t>STOCKHOLMS LÄN</t>
        </is>
      </c>
      <c r="G30" t="inlineStr">
        <is>
          <t>UPPLANDS-BRO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46259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45225</v>
      </c>
      <c r="E32" s="1" t="n">
        <v>46259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14719-2022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46259</v>
      </c>
      <c r="F33" t="inlineStr">
        <is>
          <t>STOCKHOLMS LÄN</t>
        </is>
      </c>
      <c r="G33" t="inlineStr">
        <is>
          <t>UPPLANDS-BRO</t>
        </is>
      </c>
      <c r="H33" t="inlineStr">
        <is>
          <t>Allmännings- och besparingsskogar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4338-2023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44953</v>
      </c>
      <c r="E34" s="1" t="n">
        <v>46259</v>
      </c>
      <c r="F34" t="inlineStr">
        <is>
          <t>STOCKHOLMS LÄN</t>
        </is>
      </c>
      <c r="G34" t="inlineStr">
        <is>
          <t>UPPLANDS-BRO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58011-2021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46259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9.199999999999999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72524-2021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46259</v>
      </c>
      <c r="F36" t="inlineStr">
        <is>
          <t>STOCKHOLMS LÄN</t>
        </is>
      </c>
      <c r="G36" t="inlineStr">
        <is>
          <t>UPPLANDS-BRO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46259</v>
      </c>
      <c r="F37" t="inlineStr">
        <is>
          <t>STOCKHOLMS LÄN</t>
        </is>
      </c>
      <c r="G37" t="inlineStr">
        <is>
          <t>UPPLANDS-BRO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46259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46259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27313-2023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45096</v>
      </c>
      <c r="E40" s="1" t="n">
        <v>46259</v>
      </c>
      <c r="F40" t="inlineStr">
        <is>
          <t>STOCKHOLMS LÄN</t>
        </is>
      </c>
      <c r="G40" t="inlineStr">
        <is>
          <t>UPPLANDS-BRO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46259</v>
      </c>
      <c r="F41" t="inlineStr">
        <is>
          <t>STOCKHOLMS LÄN</t>
        </is>
      </c>
      <c r="G41" t="inlineStr">
        <is>
          <t>UPPLANDS-BRO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38902-2024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46259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46259</v>
      </c>
      <c r="F43" t="inlineStr">
        <is>
          <t>STOCKHOLMS LÄN</t>
        </is>
      </c>
      <c r="G43" t="inlineStr">
        <is>
          <t>UPPLANDS-BRO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18787-2026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46259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46259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56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18818-2026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46259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17.8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46259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46259</v>
      </c>
      <c r="F48" t="inlineStr">
        <is>
          <t>STOCKHOLMS LÄN</t>
        </is>
      </c>
      <c r="G48" t="inlineStr">
        <is>
          <t>UPPLANDS-BRO</t>
        </is>
      </c>
      <c r="H48" t="inlineStr">
        <is>
          <t>Allmännings- och besparingsskogar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44959</v>
      </c>
      <c r="E49" s="1" t="n">
        <v>46259</v>
      </c>
      <c r="F49" t="inlineStr">
        <is>
          <t>STOCKHOLMS LÄN</t>
        </is>
      </c>
      <c r="G49" t="inlineStr">
        <is>
          <t>UPPLANDS-BRO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46259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21206-2026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46146</v>
      </c>
      <c r="E51" s="1" t="n">
        <v>46259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44455</v>
      </c>
      <c r="E52" s="1" t="n">
        <v>46259</v>
      </c>
      <c r="F52" t="inlineStr">
        <is>
          <t>STOCKHOLMS LÄN</t>
        </is>
      </c>
      <c r="G52" t="inlineStr">
        <is>
          <t>UPPLANDS-BRO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45279</v>
      </c>
      <c r="E53" s="1" t="n">
        <v>46259</v>
      </c>
      <c r="F53" t="inlineStr">
        <is>
          <t>STOCKHOLMS LÄN</t>
        </is>
      </c>
      <c r="G53" t="inlineStr">
        <is>
          <t>UPPLANDS-BRO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23098-2024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45450</v>
      </c>
      <c r="E54" s="1" t="n">
        <v>46259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44606</v>
      </c>
      <c r="E55" s="1" t="n">
        <v>46259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9.6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45313</v>
      </c>
      <c r="E56" s="1" t="n">
        <v>46259</v>
      </c>
      <c r="F56" t="inlineStr">
        <is>
          <t>STOCKHOLMS LÄN</t>
        </is>
      </c>
      <c r="G56" t="inlineStr">
        <is>
          <t>UPPLANDS-BRO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46170</v>
      </c>
      <c r="E57" s="1" t="n">
        <v>46259</v>
      </c>
      <c r="F57" t="inlineStr">
        <is>
          <t>STOCKHOLMS LÄN</t>
        </is>
      </c>
      <c r="G57" t="inlineStr">
        <is>
          <t>UPPLANDS-BRO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59402-2022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44906</v>
      </c>
      <c r="E58" s="1" t="n">
        <v>46259</v>
      </c>
      <c r="F58" t="inlineStr">
        <is>
          <t>STOCKHOLMS LÄN</t>
        </is>
      </c>
      <c r="G58" t="inlineStr">
        <is>
          <t>UPPLANDS-BRO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58598-2025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45986</v>
      </c>
      <c r="E59" s="1" t="n">
        <v>46259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44770</v>
      </c>
      <c r="E60" s="1" t="n">
        <v>46259</v>
      </c>
      <c r="F60" t="inlineStr">
        <is>
          <t>STOCKHOLMS LÄN</t>
        </is>
      </c>
      <c r="G60" t="inlineStr">
        <is>
          <t>UPPLANDS-BRO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44950</v>
      </c>
      <c r="E61" s="1" t="n">
        <v>46259</v>
      </c>
      <c r="F61" t="inlineStr">
        <is>
          <t>STOCKHOLMS LÄN</t>
        </is>
      </c>
      <c r="G61" t="inlineStr">
        <is>
          <t>UPPLANDS-BRO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7860-2024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45348</v>
      </c>
      <c r="E62" s="1" t="n">
        <v>46259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26196-2026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46182</v>
      </c>
      <c r="E63" s="1" t="n">
        <v>46259</v>
      </c>
      <c r="F63" t="inlineStr">
        <is>
          <t>STOCKHOLMS LÄN</t>
        </is>
      </c>
      <c r="G63" t="inlineStr">
        <is>
          <t>UPPLANDS-BRO</t>
        </is>
      </c>
      <c r="I63" t="n">
        <v>53.1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46226</v>
      </c>
      <c r="E64" s="1" t="n">
        <v>46259</v>
      </c>
      <c r="F64" t="inlineStr">
        <is>
          <t>STOCKHOLMS LÄN</t>
        </is>
      </c>
      <c r="G64" t="inlineStr">
        <is>
          <t>UPPLANDS-BRO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46259</v>
      </c>
      <c r="F65" t="inlineStr">
        <is>
          <t>STOCKHOLMS LÄN</t>
        </is>
      </c>
      <c r="G65" t="inlineStr">
        <is>
          <t>UPPLANDS-BRO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26629-2026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46184</v>
      </c>
      <c r="E66" s="1" t="n">
        <v>46259</v>
      </c>
      <c r="F66" t="inlineStr">
        <is>
          <t>STOCKHOLMS LÄN</t>
        </is>
      </c>
      <c r="G66" t="inlineStr">
        <is>
          <t>UPPLANDS-BRO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26633-2026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46184</v>
      </c>
      <c r="E67" s="1" t="n">
        <v>46259</v>
      </c>
      <c r="F67" t="inlineStr">
        <is>
          <t>STOCKHOLMS LÄN</t>
        </is>
      </c>
      <c r="G67" t="inlineStr">
        <is>
          <t>UPPLANDS-BRO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46259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46259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45279</v>
      </c>
      <c r="E70" s="1" t="n">
        <v>46259</v>
      </c>
      <c r="F70" t="inlineStr">
        <is>
          <t>STOCKHOLMS LÄN</t>
        </is>
      </c>
      <c r="G70" t="inlineStr">
        <is>
          <t>UPPLANDS-BRO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46259</v>
      </c>
      <c r="F71" t="inlineStr">
        <is>
          <t>STOCKHOLMS LÄN</t>
        </is>
      </c>
      <c r="G71" t="inlineStr">
        <is>
          <t>UPPLANDS-BRO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28740-2026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46259</v>
      </c>
      <c r="F72" t="inlineStr">
        <is>
          <t>STOCKHOLMS LÄN</t>
        </is>
      </c>
      <c r="G72" t="inlineStr">
        <is>
          <t>UPPLANDS-BRO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28735-2026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46259</v>
      </c>
      <c r="F73" t="inlineStr">
        <is>
          <t>STOCKHOLMS LÄN</t>
        </is>
      </c>
      <c r="G73" t="inlineStr">
        <is>
          <t>UPPLANDS-BRO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33058-2026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46245</v>
      </c>
      <c r="E74" s="1" t="n">
        <v>46259</v>
      </c>
      <c r="F74" t="inlineStr">
        <is>
          <t>STOCKHOLMS LÄN</t>
        </is>
      </c>
      <c r="G74" t="inlineStr">
        <is>
          <t>UPPLANDS-BRO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46259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46259</v>
      </c>
      <c r="F76" t="inlineStr">
        <is>
          <t>STOCKHOLMS LÄN</t>
        </is>
      </c>
      <c r="G76" t="inlineStr">
        <is>
          <t>UPPLANDS-BRO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23627-2025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46259</v>
      </c>
      <c r="F77" t="inlineStr">
        <is>
          <t>STOCKHOLMS LÄN</t>
        </is>
      </c>
      <c r="G77" t="inlineStr">
        <is>
          <t>UPPLANDS-BRO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46070</v>
      </c>
      <c r="E78" s="1" t="n">
        <v>46259</v>
      </c>
      <c r="F78" t="inlineStr">
        <is>
          <t>STOCKHOLMS LÄN</t>
        </is>
      </c>
      <c r="G78" t="inlineStr">
        <is>
          <t>UPPLANDS-BRO</t>
        </is>
      </c>
      <c r="H78" t="inlineStr">
        <is>
          <t>Övriga statliga verk och myndigheter</t>
        </is>
      </c>
      <c r="I78" t="n">
        <v>17.2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>
      <c r="A79" t="inlineStr">
        <is>
          <t>S 10447-2021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44558</v>
      </c>
      <c r="E79" s="1" t="n">
        <v>46259</v>
      </c>
      <c r="F79" t="inlineStr">
        <is>
          <t>STOCKHOLMS LÄN</t>
        </is>
      </c>
      <c r="G79" t="inlineStr">
        <is>
          <t>UPPLANDS-BRO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2026-08-25T01:49:44Z</dcterms:created>
  <dcterms:modified xmlns:dcterms="http://purl.org/dc/terms/" xmlns:xsi="http://www.w3.org/2001/XMLSchema-instance" xsi:type="dcterms:W3CDTF">2026-08-25T01:49:44Z</dcterms:modified>
</cp:coreProperties>
</file>