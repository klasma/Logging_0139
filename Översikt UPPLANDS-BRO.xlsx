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20601-2022</t>
        </is>
      </c>
      <c r="B2" s="1" t="n">
        <v>44700</v>
      </c>
      <c r="C2" s="1" t="n">
        <v>45687</v>
      </c>
      <c r="D2" t="inlineStr">
        <is>
          <t>STOCKHOLMS LÄN</t>
        </is>
      </c>
      <c r="E2" t="inlineStr">
        <is>
          <t>UPPLANDS-BRO</t>
        </is>
      </c>
      <c r="G2" t="n">
        <v>3</v>
      </c>
      <c r="H2" t="n">
        <v>13</v>
      </c>
      <c r="I2" t="n">
        <v>0</v>
      </c>
      <c r="J2" t="n">
        <v>10</v>
      </c>
      <c r="K2" t="n">
        <v>1</v>
      </c>
      <c r="L2" t="n">
        <v>2</v>
      </c>
      <c r="M2" t="n">
        <v>0</v>
      </c>
      <c r="N2" t="n">
        <v>0</v>
      </c>
      <c r="O2" t="n">
        <v>13</v>
      </c>
      <c r="P2" t="n">
        <v>3</v>
      </c>
      <c r="Q2" t="n">
        <v>16</v>
      </c>
      <c r="R2" s="2" t="inlineStr">
        <is>
          <t>Grönfink
Tornseglare
Gråtrut
Bredbrämad bastardsvärmare
Entita
Grönsångare
Gulsparv
Kråka
Mindre bastardsvärmare
Mindre hackspett
Sexfläckig bastardsvärmare
Spillkråka
Talltita
Kungsfågel
Huggorm
Kopparödla</t>
        </is>
      </c>
      <c r="S2">
        <f>HYPERLINK("https://klasma.github.io/Logging_0139/artfynd/A 20601-2022 artfynd.xlsx", "A 20601-2022")</f>
        <v/>
      </c>
      <c r="T2">
        <f>HYPERLINK("https://klasma.github.io/Logging_0139/kartor/A 20601-2022 karta.png", "A 20601-2022")</f>
        <v/>
      </c>
      <c r="V2">
        <f>HYPERLINK("https://klasma.github.io/Logging_0139/klagomål/A 20601-2022 FSC-klagomål.docx", "A 20601-2022")</f>
        <v/>
      </c>
      <c r="W2">
        <f>HYPERLINK("https://klasma.github.io/Logging_0139/klagomålsmail/A 20601-2022 FSC-klagomål mail.docx", "A 20601-2022")</f>
        <v/>
      </c>
      <c r="X2">
        <f>HYPERLINK("https://klasma.github.io/Logging_0139/tillsyn/A 20601-2022 tillsynsbegäran.docx", "A 20601-2022")</f>
        <v/>
      </c>
      <c r="Y2">
        <f>HYPERLINK("https://klasma.github.io/Logging_0139/tillsynsmail/A 20601-2022 tillsynsbegäran mail.docx", "A 20601-2022")</f>
        <v/>
      </c>
      <c r="Z2">
        <f>HYPERLINK("https://klasma.github.io/Logging_0139/fåglar/A 20601-2022 prioriterade fågelarter.docx", "A 20601-2022")</f>
        <v/>
      </c>
    </row>
    <row r="3" ht="15" customHeight="1">
      <c r="A3" t="inlineStr">
        <is>
          <t>A 55773-2023</t>
        </is>
      </c>
      <c r="B3" s="1" t="n">
        <v>45232</v>
      </c>
      <c r="C3" s="1" t="n">
        <v>45687</v>
      </c>
      <c r="D3" t="inlineStr">
        <is>
          <t>STOCKHOLMS LÄN</t>
        </is>
      </c>
      <c r="E3" t="inlineStr">
        <is>
          <t>UPPLANDS-BRO</t>
        </is>
      </c>
      <c r="G3" t="n">
        <v>4.9</v>
      </c>
      <c r="H3" t="n">
        <v>2</v>
      </c>
      <c r="I3" t="n">
        <v>5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10</v>
      </c>
      <c r="R3" s="2" t="inlineStr">
        <is>
          <t>Flattoppad klubbsvamp
Fyrflikig jordstjärna
Grantaggsvamp
Fjällig taggsvamp s.str.
Kamjordstjärna
Skarp dropptaggsvamp
Svavelriska
Zontaggsvamp
Kopparödla
Nattviol</t>
        </is>
      </c>
      <c r="S3">
        <f>HYPERLINK("https://klasma.github.io/Logging_0139/artfynd/A 55773-2023 artfynd.xlsx", "A 55773-2023")</f>
        <v/>
      </c>
      <c r="T3">
        <f>HYPERLINK("https://klasma.github.io/Logging_0139/kartor/A 55773-2023 karta.png", "A 55773-2023")</f>
        <v/>
      </c>
      <c r="V3">
        <f>HYPERLINK("https://klasma.github.io/Logging_0139/klagomål/A 55773-2023 FSC-klagomål.docx", "A 55773-2023")</f>
        <v/>
      </c>
      <c r="W3">
        <f>HYPERLINK("https://klasma.github.io/Logging_0139/klagomålsmail/A 55773-2023 FSC-klagomål mail.docx", "A 55773-2023")</f>
        <v/>
      </c>
      <c r="X3">
        <f>HYPERLINK("https://klasma.github.io/Logging_0139/tillsyn/A 55773-2023 tillsynsbegäran.docx", "A 55773-2023")</f>
        <v/>
      </c>
      <c r="Y3">
        <f>HYPERLINK("https://klasma.github.io/Logging_0139/tillsynsmail/A 55773-2023 tillsynsbegäran mail.docx", "A 55773-2023")</f>
        <v/>
      </c>
    </row>
    <row r="4" ht="15" customHeight="1">
      <c r="A4" t="inlineStr">
        <is>
          <t>A 31366-2021</t>
        </is>
      </c>
      <c r="B4" s="1" t="n">
        <v>44368</v>
      </c>
      <c r="C4" s="1" t="n">
        <v>45687</v>
      </c>
      <c r="D4" t="inlineStr">
        <is>
          <t>STOCKHOLMS LÄN</t>
        </is>
      </c>
      <c r="E4" t="inlineStr">
        <is>
          <t>UPPLANDS-BRO</t>
        </is>
      </c>
      <c r="G4" t="n">
        <v>8.5</v>
      </c>
      <c r="H4" t="n">
        <v>2</v>
      </c>
      <c r="I4" t="n">
        <v>5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9</v>
      </c>
      <c r="R4" s="2" t="inlineStr">
        <is>
          <t>Klotsporig murkla
Motaggsvamp
Spillkråka
Blåmossa
Rödbrun jordstjärna
Stubbspretmossa
Svavelriska
Thomsons trägnagare
Blåsippa</t>
        </is>
      </c>
      <c r="S4">
        <f>HYPERLINK("https://klasma.github.io/Logging_0139/artfynd/A 31366-2021 artfynd.xlsx", "A 31366-2021")</f>
        <v/>
      </c>
      <c r="T4">
        <f>HYPERLINK("https://klasma.github.io/Logging_0139/kartor/A 31366-2021 karta.png", "A 31366-2021")</f>
        <v/>
      </c>
      <c r="V4">
        <f>HYPERLINK("https://klasma.github.io/Logging_0139/klagomål/A 31366-2021 FSC-klagomål.docx", "A 31366-2021")</f>
        <v/>
      </c>
      <c r="W4">
        <f>HYPERLINK("https://klasma.github.io/Logging_0139/klagomålsmail/A 31366-2021 FSC-klagomål mail.docx", "A 31366-2021")</f>
        <v/>
      </c>
      <c r="X4">
        <f>HYPERLINK("https://klasma.github.io/Logging_0139/tillsyn/A 31366-2021 tillsynsbegäran.docx", "A 31366-2021")</f>
        <v/>
      </c>
      <c r="Y4">
        <f>HYPERLINK("https://klasma.github.io/Logging_0139/tillsynsmail/A 31366-2021 tillsynsbegäran mail.docx", "A 31366-2021")</f>
        <v/>
      </c>
      <c r="Z4">
        <f>HYPERLINK("https://klasma.github.io/Logging_0139/fåglar/A 31366-2021 prioriterade fågelarter.docx", "A 31366-2021")</f>
        <v/>
      </c>
    </row>
    <row r="5" ht="15" customHeight="1">
      <c r="A5" t="inlineStr">
        <is>
          <t>A 28820-2024</t>
        </is>
      </c>
      <c r="B5" s="1" t="n">
        <v>45478</v>
      </c>
      <c r="C5" s="1" t="n">
        <v>45687</v>
      </c>
      <c r="D5" t="inlineStr">
        <is>
          <t>STOCKHOLMS LÄN</t>
        </is>
      </c>
      <c r="E5" t="inlineStr">
        <is>
          <t>UPPLANDS-BRO</t>
        </is>
      </c>
      <c r="G5" t="n">
        <v>5.1</v>
      </c>
      <c r="H5" t="n">
        <v>1</v>
      </c>
      <c r="I5" t="n">
        <v>2</v>
      </c>
      <c r="J5" t="n">
        <v>4</v>
      </c>
      <c r="K5" t="n">
        <v>1</v>
      </c>
      <c r="L5" t="n">
        <v>0</v>
      </c>
      <c r="M5" t="n">
        <v>0</v>
      </c>
      <c r="N5" t="n">
        <v>0</v>
      </c>
      <c r="O5" t="n">
        <v>5</v>
      </c>
      <c r="P5" t="n">
        <v>1</v>
      </c>
      <c r="Q5" t="n">
        <v>7</v>
      </c>
      <c r="R5" s="2" t="inlineStr">
        <is>
          <t>Rynkskinn
Motaggsvamp
Såpfingersvamp
Talltita
Ullticka
Granbarkgnagare
Tallfingersvamp</t>
        </is>
      </c>
      <c r="S5">
        <f>HYPERLINK("https://klasma.github.io/Logging_0139/artfynd/A 28820-2024 artfynd.xlsx", "A 28820-2024")</f>
        <v/>
      </c>
      <c r="T5">
        <f>HYPERLINK("https://klasma.github.io/Logging_0139/kartor/A 28820-2024 karta.png", "A 28820-2024")</f>
        <v/>
      </c>
      <c r="V5">
        <f>HYPERLINK("https://klasma.github.io/Logging_0139/klagomål/A 28820-2024 FSC-klagomål.docx", "A 28820-2024")</f>
        <v/>
      </c>
      <c r="W5">
        <f>HYPERLINK("https://klasma.github.io/Logging_0139/klagomålsmail/A 28820-2024 FSC-klagomål mail.docx", "A 28820-2024")</f>
        <v/>
      </c>
      <c r="X5">
        <f>HYPERLINK("https://klasma.github.io/Logging_0139/tillsyn/A 28820-2024 tillsynsbegäran.docx", "A 28820-2024")</f>
        <v/>
      </c>
      <c r="Y5">
        <f>HYPERLINK("https://klasma.github.io/Logging_0139/tillsynsmail/A 28820-2024 tillsynsbegäran mail.docx", "A 28820-2024")</f>
        <v/>
      </c>
      <c r="Z5">
        <f>HYPERLINK("https://klasma.github.io/Logging_0139/fåglar/A 28820-2024 prioriterade fågelarter.docx", "A 28820-2024")</f>
        <v/>
      </c>
    </row>
    <row r="6" ht="15" customHeight="1">
      <c r="A6" t="inlineStr">
        <is>
          <t>A 73783-2021</t>
        </is>
      </c>
      <c r="B6" s="1" t="n">
        <v>44552</v>
      </c>
      <c r="C6" s="1" t="n">
        <v>45687</v>
      </c>
      <c r="D6" t="inlineStr">
        <is>
          <t>STOCKHOLMS LÄN</t>
        </is>
      </c>
      <c r="E6" t="inlineStr">
        <is>
          <t>UPPLANDS-BRO</t>
        </is>
      </c>
      <c r="G6" t="n">
        <v>5.9</v>
      </c>
      <c r="H6" t="n">
        <v>0</v>
      </c>
      <c r="I6" t="n">
        <v>1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4</v>
      </c>
      <c r="R6" s="2" t="inlineStr">
        <is>
          <t>Blek fingersvamp
Dofttaggsvamp
Svartvit taggsvamp
Skarp dropptaggsvamp</t>
        </is>
      </c>
      <c r="S6">
        <f>HYPERLINK("https://klasma.github.io/Logging_0139/artfynd/A 73783-2021 artfynd.xlsx", "A 73783-2021")</f>
        <v/>
      </c>
      <c r="T6">
        <f>HYPERLINK("https://klasma.github.io/Logging_0139/kartor/A 73783-2021 karta.png", "A 73783-2021")</f>
        <v/>
      </c>
      <c r="V6">
        <f>HYPERLINK("https://klasma.github.io/Logging_0139/klagomål/A 73783-2021 FSC-klagomål.docx", "A 73783-2021")</f>
        <v/>
      </c>
      <c r="W6">
        <f>HYPERLINK("https://klasma.github.io/Logging_0139/klagomålsmail/A 73783-2021 FSC-klagomål mail.docx", "A 73783-2021")</f>
        <v/>
      </c>
      <c r="X6">
        <f>HYPERLINK("https://klasma.github.io/Logging_0139/tillsyn/A 73783-2021 tillsynsbegäran.docx", "A 73783-2021")</f>
        <v/>
      </c>
      <c r="Y6">
        <f>HYPERLINK("https://klasma.github.io/Logging_0139/tillsynsmail/A 73783-2021 tillsynsbegäran mail.docx", "A 73783-2021")</f>
        <v/>
      </c>
    </row>
    <row r="7" ht="15" customHeight="1">
      <c r="A7" t="inlineStr">
        <is>
          <t>A 31335-2021</t>
        </is>
      </c>
      <c r="B7" s="1" t="n">
        <v>44368</v>
      </c>
      <c r="C7" s="1" t="n">
        <v>45687</v>
      </c>
      <c r="D7" t="inlineStr">
        <is>
          <t>STOCKHOLMS LÄN</t>
        </is>
      </c>
      <c r="E7" t="inlineStr">
        <is>
          <t>UPPLANDS-BRO</t>
        </is>
      </c>
      <c r="G7" t="n">
        <v>6.3</v>
      </c>
      <c r="H7" t="n">
        <v>0</v>
      </c>
      <c r="I7" t="n">
        <v>3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Grovticka
Skarp dropptaggsvamp
Svavelriska</t>
        </is>
      </c>
      <c r="S7">
        <f>HYPERLINK("https://klasma.github.io/Logging_0139/artfynd/A 31335-2021 artfynd.xlsx", "A 31335-2021")</f>
        <v/>
      </c>
      <c r="T7">
        <f>HYPERLINK("https://klasma.github.io/Logging_0139/kartor/A 31335-2021 karta.png", "A 31335-2021")</f>
        <v/>
      </c>
      <c r="V7">
        <f>HYPERLINK("https://klasma.github.io/Logging_0139/klagomål/A 31335-2021 FSC-klagomål.docx", "A 31335-2021")</f>
        <v/>
      </c>
      <c r="W7">
        <f>HYPERLINK("https://klasma.github.io/Logging_0139/klagomålsmail/A 31335-2021 FSC-klagomål mail.docx", "A 31335-2021")</f>
        <v/>
      </c>
      <c r="X7">
        <f>HYPERLINK("https://klasma.github.io/Logging_0139/tillsyn/A 31335-2021 tillsynsbegäran.docx", "A 31335-2021")</f>
        <v/>
      </c>
      <c r="Y7">
        <f>HYPERLINK("https://klasma.github.io/Logging_0139/tillsynsmail/A 31335-2021 tillsynsbegäran mail.docx", "A 31335-2021")</f>
        <v/>
      </c>
    </row>
    <row r="8" ht="15" customHeight="1">
      <c r="A8" t="inlineStr">
        <is>
          <t>A 9956-2021</t>
        </is>
      </c>
      <c r="B8" s="1" t="n">
        <v>44252</v>
      </c>
      <c r="C8" s="1" t="n">
        <v>45687</v>
      </c>
      <c r="D8" t="inlineStr">
        <is>
          <t>STOCKHOLMS LÄN</t>
        </is>
      </c>
      <c r="E8" t="inlineStr">
        <is>
          <t>UPPLANDS-BRO</t>
        </is>
      </c>
      <c r="F8" t="inlineStr">
        <is>
          <t>Kyrkan</t>
        </is>
      </c>
      <c r="G8" t="n">
        <v>3.4</v>
      </c>
      <c r="H8" t="n">
        <v>0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Dofttaggsvamp
Svavelriska</t>
        </is>
      </c>
      <c r="S8">
        <f>HYPERLINK("https://klasma.github.io/Logging_0139/artfynd/A 9956-2021 artfynd.xlsx", "A 9956-2021")</f>
        <v/>
      </c>
      <c r="T8">
        <f>HYPERLINK("https://klasma.github.io/Logging_0139/kartor/A 9956-2021 karta.png", "A 9956-2021")</f>
        <v/>
      </c>
      <c r="V8">
        <f>HYPERLINK("https://klasma.github.io/Logging_0139/klagomål/A 9956-2021 FSC-klagomål.docx", "A 9956-2021")</f>
        <v/>
      </c>
      <c r="W8">
        <f>HYPERLINK("https://klasma.github.io/Logging_0139/klagomålsmail/A 9956-2021 FSC-klagomål mail.docx", "A 9956-2021")</f>
        <v/>
      </c>
      <c r="X8">
        <f>HYPERLINK("https://klasma.github.io/Logging_0139/tillsyn/A 9956-2021 tillsynsbegäran.docx", "A 9956-2021")</f>
        <v/>
      </c>
      <c r="Y8">
        <f>HYPERLINK("https://klasma.github.io/Logging_0139/tillsynsmail/A 9956-2021 tillsynsbegäran mail.docx", "A 9956-2021")</f>
        <v/>
      </c>
    </row>
    <row r="9" ht="15" customHeight="1">
      <c r="A9" t="inlineStr">
        <is>
          <t>A 59732-2021</t>
        </is>
      </c>
      <c r="B9" s="1" t="n">
        <v>44494</v>
      </c>
      <c r="C9" s="1" t="n">
        <v>45687</v>
      </c>
      <c r="D9" t="inlineStr">
        <is>
          <t>STOCKHOLMS LÄN</t>
        </is>
      </c>
      <c r="E9" t="inlineStr">
        <is>
          <t>UPPLANDS-BRO</t>
        </is>
      </c>
      <c r="F9" t="inlineStr">
        <is>
          <t>Övriga statliga verk och myndigheter</t>
        </is>
      </c>
      <c r="G9" t="n">
        <v>17.2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Ängsskära
Gullviva</t>
        </is>
      </c>
      <c r="S9">
        <f>HYPERLINK("https://klasma.github.io/Logging_0139/artfynd/A 59732-2021 artfynd.xlsx", "A 59732-2021")</f>
        <v/>
      </c>
      <c r="T9">
        <f>HYPERLINK("https://klasma.github.io/Logging_0139/kartor/A 59732-2021 karta.png", "A 59732-2021")</f>
        <v/>
      </c>
      <c r="V9">
        <f>HYPERLINK("https://klasma.github.io/Logging_0139/klagomål/A 59732-2021 FSC-klagomål.docx", "A 59732-2021")</f>
        <v/>
      </c>
      <c r="W9">
        <f>HYPERLINK("https://klasma.github.io/Logging_0139/klagomålsmail/A 59732-2021 FSC-klagomål mail.docx", "A 59732-2021")</f>
        <v/>
      </c>
      <c r="X9">
        <f>HYPERLINK("https://klasma.github.io/Logging_0139/tillsyn/A 59732-2021 tillsynsbegäran.docx", "A 59732-2021")</f>
        <v/>
      </c>
      <c r="Y9">
        <f>HYPERLINK("https://klasma.github.io/Logging_0139/tillsynsmail/A 59732-2021 tillsynsbegäran mail.docx", "A 59732-2021")</f>
        <v/>
      </c>
    </row>
    <row r="10" ht="15" customHeight="1">
      <c r="A10" t="inlineStr">
        <is>
          <t>A 47329-2020</t>
        </is>
      </c>
      <c r="B10" s="1" t="n">
        <v>44097</v>
      </c>
      <c r="C10" s="1" t="n">
        <v>45687</v>
      </c>
      <c r="D10" t="inlineStr">
        <is>
          <t>STOCKHOLMS LÄN</t>
        </is>
      </c>
      <c r="E10" t="inlineStr">
        <is>
          <t>UPPLANDS-BRO</t>
        </is>
      </c>
      <c r="G10" t="n">
        <v>1.6</v>
      </c>
      <c r="H10" t="n">
        <v>1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Bombmurkla</t>
        </is>
      </c>
      <c r="S10">
        <f>HYPERLINK("https://klasma.github.io/Logging_0139/artfynd/A 47329-2020 artfynd.xlsx", "A 47329-2020")</f>
        <v/>
      </c>
      <c r="T10">
        <f>HYPERLINK("https://klasma.github.io/Logging_0139/kartor/A 47329-2020 karta.png", "A 47329-2020")</f>
        <v/>
      </c>
      <c r="V10">
        <f>HYPERLINK("https://klasma.github.io/Logging_0139/klagomål/A 47329-2020 FSC-klagomål.docx", "A 47329-2020")</f>
        <v/>
      </c>
      <c r="W10">
        <f>HYPERLINK("https://klasma.github.io/Logging_0139/klagomålsmail/A 47329-2020 FSC-klagomål mail.docx", "A 47329-2020")</f>
        <v/>
      </c>
      <c r="X10">
        <f>HYPERLINK("https://klasma.github.io/Logging_0139/tillsyn/A 47329-2020 tillsynsbegäran.docx", "A 47329-2020")</f>
        <v/>
      </c>
      <c r="Y10">
        <f>HYPERLINK("https://klasma.github.io/Logging_0139/tillsynsmail/A 47329-2020 tillsynsbegäran mail.docx", "A 47329-2020")</f>
        <v/>
      </c>
    </row>
    <row r="11" ht="15" customHeight="1">
      <c r="A11" t="inlineStr">
        <is>
          <t>A 73773-2021</t>
        </is>
      </c>
      <c r="B11" s="1" t="n">
        <v>44552</v>
      </c>
      <c r="C11" s="1" t="n">
        <v>45687</v>
      </c>
      <c r="D11" t="inlineStr">
        <is>
          <t>STOCKHOLMS LÄN</t>
        </is>
      </c>
      <c r="E11" t="inlineStr">
        <is>
          <t>UPPLANDS-BRO</t>
        </is>
      </c>
      <c r="G11" t="n">
        <v>1.9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Kopparödla</t>
        </is>
      </c>
      <c r="S11">
        <f>HYPERLINK("https://klasma.github.io/Logging_0139/artfynd/A 73773-2021 artfynd.xlsx", "A 73773-2021")</f>
        <v/>
      </c>
      <c r="T11">
        <f>HYPERLINK("https://klasma.github.io/Logging_0139/kartor/A 73773-2021 karta.png", "A 73773-2021")</f>
        <v/>
      </c>
      <c r="V11">
        <f>HYPERLINK("https://klasma.github.io/Logging_0139/klagomål/A 73773-2021 FSC-klagomål.docx", "A 73773-2021")</f>
        <v/>
      </c>
      <c r="W11">
        <f>HYPERLINK("https://klasma.github.io/Logging_0139/klagomålsmail/A 73773-2021 FSC-klagomål mail.docx", "A 73773-2021")</f>
        <v/>
      </c>
      <c r="X11">
        <f>HYPERLINK("https://klasma.github.io/Logging_0139/tillsyn/A 73773-2021 tillsynsbegäran.docx", "A 73773-2021")</f>
        <v/>
      </c>
      <c r="Y11">
        <f>HYPERLINK("https://klasma.github.io/Logging_0139/tillsynsmail/A 73773-2021 tillsynsbegäran mail.docx", "A 73773-2021")</f>
        <v/>
      </c>
    </row>
    <row r="12" ht="15" customHeight="1">
      <c r="A12" t="inlineStr">
        <is>
          <t>A 73787-2021</t>
        </is>
      </c>
      <c r="B12" s="1" t="n">
        <v>44552</v>
      </c>
      <c r="C12" s="1" t="n">
        <v>45687</v>
      </c>
      <c r="D12" t="inlineStr">
        <is>
          <t>STOCKHOLMS LÄN</t>
        </is>
      </c>
      <c r="E12" t="inlineStr">
        <is>
          <t>UPPLANDS-BRO</t>
        </is>
      </c>
      <c r="G12" t="n">
        <v>4.6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Dofttaggsvamp</t>
        </is>
      </c>
      <c r="S12">
        <f>HYPERLINK("https://klasma.github.io/Logging_0139/artfynd/A 73787-2021 artfynd.xlsx", "A 73787-2021")</f>
        <v/>
      </c>
      <c r="T12">
        <f>HYPERLINK("https://klasma.github.io/Logging_0139/kartor/A 73787-2021 karta.png", "A 73787-2021")</f>
        <v/>
      </c>
      <c r="V12">
        <f>HYPERLINK("https://klasma.github.io/Logging_0139/klagomål/A 73787-2021 FSC-klagomål.docx", "A 73787-2021")</f>
        <v/>
      </c>
      <c r="W12">
        <f>HYPERLINK("https://klasma.github.io/Logging_0139/klagomålsmail/A 73787-2021 FSC-klagomål mail.docx", "A 73787-2021")</f>
        <v/>
      </c>
      <c r="X12">
        <f>HYPERLINK("https://klasma.github.io/Logging_0139/tillsyn/A 73787-2021 tillsynsbegäran.docx", "A 73787-2021")</f>
        <v/>
      </c>
      <c r="Y12">
        <f>HYPERLINK("https://klasma.github.io/Logging_0139/tillsynsmail/A 73787-2021 tillsynsbegäran mail.docx", "A 73787-2021")</f>
        <v/>
      </c>
    </row>
    <row r="13" ht="15" customHeight="1">
      <c r="A13" t="inlineStr">
        <is>
          <t>A 7285-2022</t>
        </is>
      </c>
      <c r="B13" s="1" t="n">
        <v>44606</v>
      </c>
      <c r="C13" s="1" t="n">
        <v>45687</v>
      </c>
      <c r="D13" t="inlineStr">
        <is>
          <t>STOCKHOLMS LÄN</t>
        </is>
      </c>
      <c r="E13" t="inlineStr">
        <is>
          <t>UPPLANDS-BRO</t>
        </is>
      </c>
      <c r="F13" t="inlineStr">
        <is>
          <t>Övriga statliga verk och myndigheter</t>
        </is>
      </c>
      <c r="G13" t="n">
        <v>22.6</v>
      </c>
      <c r="H13" t="n">
        <v>0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Koppartaggsvamp</t>
        </is>
      </c>
      <c r="S13">
        <f>HYPERLINK("https://klasma.github.io/Logging_0139/artfynd/A 7285-2022 artfynd.xlsx", "A 7285-2022")</f>
        <v/>
      </c>
      <c r="T13">
        <f>HYPERLINK("https://klasma.github.io/Logging_0139/kartor/A 7285-2022 karta.png", "A 7285-2022")</f>
        <v/>
      </c>
      <c r="V13">
        <f>HYPERLINK("https://klasma.github.io/Logging_0139/klagomål/A 7285-2022 FSC-klagomål.docx", "A 7285-2022")</f>
        <v/>
      </c>
      <c r="W13">
        <f>HYPERLINK("https://klasma.github.io/Logging_0139/klagomålsmail/A 7285-2022 FSC-klagomål mail.docx", "A 7285-2022")</f>
        <v/>
      </c>
      <c r="X13">
        <f>HYPERLINK("https://klasma.github.io/Logging_0139/tillsyn/A 7285-2022 tillsynsbegäran.docx", "A 7285-2022")</f>
        <v/>
      </c>
      <c r="Y13">
        <f>HYPERLINK("https://klasma.github.io/Logging_0139/tillsynsmail/A 7285-2022 tillsynsbegäran mail.docx", "A 7285-2022")</f>
        <v/>
      </c>
    </row>
    <row r="14" ht="15" customHeight="1">
      <c r="A14" t="inlineStr">
        <is>
          <t>A 7955-2023</t>
        </is>
      </c>
      <c r="B14" s="1" t="n">
        <v>44973</v>
      </c>
      <c r="C14" s="1" t="n">
        <v>45687</v>
      </c>
      <c r="D14" t="inlineStr">
        <is>
          <t>STOCKHOLMS LÄN</t>
        </is>
      </c>
      <c r="E14" t="inlineStr">
        <is>
          <t>UPPLANDS-BRO</t>
        </is>
      </c>
      <c r="G14" t="n">
        <v>2.9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Bombmurkla</t>
        </is>
      </c>
      <c r="S14">
        <f>HYPERLINK("https://klasma.github.io/Logging_0139/artfynd/A 7955-2023 artfynd.xlsx", "A 7955-2023")</f>
        <v/>
      </c>
      <c r="T14">
        <f>HYPERLINK("https://klasma.github.io/Logging_0139/kartor/A 7955-2023 karta.png", "A 7955-2023")</f>
        <v/>
      </c>
      <c r="V14">
        <f>HYPERLINK("https://klasma.github.io/Logging_0139/klagomål/A 7955-2023 FSC-klagomål.docx", "A 7955-2023")</f>
        <v/>
      </c>
      <c r="W14">
        <f>HYPERLINK("https://klasma.github.io/Logging_0139/klagomålsmail/A 7955-2023 FSC-klagomål mail.docx", "A 7955-2023")</f>
        <v/>
      </c>
      <c r="X14">
        <f>HYPERLINK("https://klasma.github.io/Logging_0139/tillsyn/A 7955-2023 tillsynsbegäran.docx", "A 7955-2023")</f>
        <v/>
      </c>
      <c r="Y14">
        <f>HYPERLINK("https://klasma.github.io/Logging_0139/tillsynsmail/A 7955-2023 tillsynsbegäran mail.docx", "A 7955-2023")</f>
        <v/>
      </c>
    </row>
    <row r="15" ht="15" customHeight="1">
      <c r="A15" t="inlineStr">
        <is>
          <t>A 64098-2023</t>
        </is>
      </c>
      <c r="B15" s="1" t="n">
        <v>45279</v>
      </c>
      <c r="C15" s="1" t="n">
        <v>45687</v>
      </c>
      <c r="D15" t="inlineStr">
        <is>
          <t>STOCKHOLMS LÄN</t>
        </is>
      </c>
      <c r="E15" t="inlineStr">
        <is>
          <t>UPPLANDS-BRO</t>
        </is>
      </c>
      <c r="G15" t="n">
        <v>0.3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Skogsalmsdvärgmal</t>
        </is>
      </c>
      <c r="S15">
        <f>HYPERLINK("https://klasma.github.io/Logging_0139/artfynd/A 64098-2023 artfynd.xlsx", "A 64098-2023")</f>
        <v/>
      </c>
      <c r="T15">
        <f>HYPERLINK("https://klasma.github.io/Logging_0139/kartor/A 64098-2023 karta.png", "A 64098-2023")</f>
        <v/>
      </c>
      <c r="V15">
        <f>HYPERLINK("https://klasma.github.io/Logging_0139/klagomål/A 64098-2023 FSC-klagomål.docx", "A 64098-2023")</f>
        <v/>
      </c>
      <c r="W15">
        <f>HYPERLINK("https://klasma.github.io/Logging_0139/klagomålsmail/A 64098-2023 FSC-klagomål mail.docx", "A 64098-2023")</f>
        <v/>
      </c>
      <c r="X15">
        <f>HYPERLINK("https://klasma.github.io/Logging_0139/tillsyn/A 64098-2023 tillsynsbegäran.docx", "A 64098-2023")</f>
        <v/>
      </c>
      <c r="Y15">
        <f>HYPERLINK("https://klasma.github.io/Logging_0139/tillsynsmail/A 64098-2023 tillsynsbegäran mail.docx", "A 64098-2023")</f>
        <v/>
      </c>
    </row>
    <row r="16" ht="15" customHeight="1">
      <c r="A16" t="inlineStr">
        <is>
          <t>A 23099-2024</t>
        </is>
      </c>
      <c r="B16" s="1" t="n">
        <v>45450</v>
      </c>
      <c r="C16" s="1" t="n">
        <v>45687</v>
      </c>
      <c r="D16" t="inlineStr">
        <is>
          <t>STOCKHOLMS LÄN</t>
        </is>
      </c>
      <c r="E16" t="inlineStr">
        <is>
          <t>UPPLANDS-BRO</t>
        </is>
      </c>
      <c r="F16" t="inlineStr">
        <is>
          <t>Övriga statliga verk och myndigheter</t>
        </is>
      </c>
      <c r="G16" t="n">
        <v>0.7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Mindre bastardsvärmare</t>
        </is>
      </c>
      <c r="S16">
        <f>HYPERLINK("https://klasma.github.io/Logging_0139/artfynd/A 23099-2024 artfynd.xlsx", "A 23099-2024")</f>
        <v/>
      </c>
      <c r="T16">
        <f>HYPERLINK("https://klasma.github.io/Logging_0139/kartor/A 23099-2024 karta.png", "A 23099-2024")</f>
        <v/>
      </c>
      <c r="V16">
        <f>HYPERLINK("https://klasma.github.io/Logging_0139/klagomål/A 23099-2024 FSC-klagomål.docx", "A 23099-2024")</f>
        <v/>
      </c>
      <c r="W16">
        <f>HYPERLINK("https://klasma.github.io/Logging_0139/klagomålsmail/A 23099-2024 FSC-klagomål mail.docx", "A 23099-2024")</f>
        <v/>
      </c>
      <c r="X16">
        <f>HYPERLINK("https://klasma.github.io/Logging_0139/tillsyn/A 23099-2024 tillsynsbegäran.docx", "A 23099-2024")</f>
        <v/>
      </c>
      <c r="Y16">
        <f>HYPERLINK("https://klasma.github.io/Logging_0139/tillsynsmail/A 23099-2024 tillsynsbegäran mail.docx", "A 23099-2024")</f>
        <v/>
      </c>
    </row>
    <row r="17" ht="15" customHeight="1">
      <c r="A17" t="inlineStr">
        <is>
          <t>A 28817-2024</t>
        </is>
      </c>
      <c r="B17" s="1" t="n">
        <v>45478</v>
      </c>
      <c r="C17" s="1" t="n">
        <v>45687</v>
      </c>
      <c r="D17" t="inlineStr">
        <is>
          <t>STOCKHOLMS LÄN</t>
        </is>
      </c>
      <c r="E17" t="inlineStr">
        <is>
          <t>UPPLANDS-BRO</t>
        </is>
      </c>
      <c r="F17" t="inlineStr">
        <is>
          <t>Allmännings- och besparingsskogar</t>
        </is>
      </c>
      <c r="G17" t="n">
        <v>3.7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Tallticka</t>
        </is>
      </c>
      <c r="S17">
        <f>HYPERLINK("https://klasma.github.io/Logging_0139/artfynd/A 28817-2024 artfynd.xlsx", "A 28817-2024")</f>
        <v/>
      </c>
      <c r="T17">
        <f>HYPERLINK("https://klasma.github.io/Logging_0139/kartor/A 28817-2024 karta.png", "A 28817-2024")</f>
        <v/>
      </c>
      <c r="V17">
        <f>HYPERLINK("https://klasma.github.io/Logging_0139/klagomål/A 28817-2024 FSC-klagomål.docx", "A 28817-2024")</f>
        <v/>
      </c>
      <c r="W17">
        <f>HYPERLINK("https://klasma.github.io/Logging_0139/klagomålsmail/A 28817-2024 FSC-klagomål mail.docx", "A 28817-2024")</f>
        <v/>
      </c>
      <c r="X17">
        <f>HYPERLINK("https://klasma.github.io/Logging_0139/tillsyn/A 28817-2024 tillsynsbegäran.docx", "A 28817-2024")</f>
        <v/>
      </c>
      <c r="Y17">
        <f>HYPERLINK("https://klasma.github.io/Logging_0139/tillsynsmail/A 28817-2024 tillsynsbegäran mail.docx", "A 28817-2024")</f>
        <v/>
      </c>
    </row>
    <row r="18" ht="15" customHeight="1">
      <c r="A18" t="inlineStr">
        <is>
          <t>A 30721-2024</t>
        </is>
      </c>
      <c r="B18" s="1" t="n">
        <v>45496</v>
      </c>
      <c r="C18" s="1" t="n">
        <v>45687</v>
      </c>
      <c r="D18" t="inlineStr">
        <is>
          <t>STOCKHOLMS LÄN</t>
        </is>
      </c>
      <c r="E18" t="inlineStr">
        <is>
          <t>UPPLANDS-BRO</t>
        </is>
      </c>
      <c r="G18" t="n">
        <v>1.9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Persiljespindling</t>
        </is>
      </c>
      <c r="S18">
        <f>HYPERLINK("https://klasma.github.io/Logging_0139/artfynd/A 30721-2024 artfynd.xlsx", "A 30721-2024")</f>
        <v/>
      </c>
      <c r="T18">
        <f>HYPERLINK("https://klasma.github.io/Logging_0139/kartor/A 30721-2024 karta.png", "A 30721-2024")</f>
        <v/>
      </c>
      <c r="V18">
        <f>HYPERLINK("https://klasma.github.io/Logging_0139/klagomål/A 30721-2024 FSC-klagomål.docx", "A 30721-2024")</f>
        <v/>
      </c>
      <c r="W18">
        <f>HYPERLINK("https://klasma.github.io/Logging_0139/klagomålsmail/A 30721-2024 FSC-klagomål mail.docx", "A 30721-2024")</f>
        <v/>
      </c>
      <c r="X18">
        <f>HYPERLINK("https://klasma.github.io/Logging_0139/tillsyn/A 30721-2024 tillsynsbegäran.docx", "A 30721-2024")</f>
        <v/>
      </c>
      <c r="Y18">
        <f>HYPERLINK("https://klasma.github.io/Logging_0139/tillsynsmail/A 30721-2024 tillsynsbegäran mail.docx", "A 30721-2024")</f>
        <v/>
      </c>
    </row>
    <row r="19" ht="15" customHeight="1">
      <c r="A19" t="inlineStr">
        <is>
          <t>A 39752-2024</t>
        </is>
      </c>
      <c r="B19" s="1" t="n">
        <v>45552</v>
      </c>
      <c r="C19" s="1" t="n">
        <v>45687</v>
      </c>
      <c r="D19" t="inlineStr">
        <is>
          <t>STOCKHOLMS LÄN</t>
        </is>
      </c>
      <c r="E19" t="inlineStr">
        <is>
          <t>UPPLANDS-BRO</t>
        </is>
      </c>
      <c r="G19" t="n">
        <v>7.2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Talltita</t>
        </is>
      </c>
      <c r="S19">
        <f>HYPERLINK("https://klasma.github.io/Logging_0139/artfynd/A 39752-2024 artfynd.xlsx", "A 39752-2024")</f>
        <v/>
      </c>
      <c r="T19">
        <f>HYPERLINK("https://klasma.github.io/Logging_0139/kartor/A 39752-2024 karta.png", "A 39752-2024")</f>
        <v/>
      </c>
      <c r="V19">
        <f>HYPERLINK("https://klasma.github.io/Logging_0139/klagomål/A 39752-2024 FSC-klagomål.docx", "A 39752-2024")</f>
        <v/>
      </c>
      <c r="W19">
        <f>HYPERLINK("https://klasma.github.io/Logging_0139/klagomålsmail/A 39752-2024 FSC-klagomål mail.docx", "A 39752-2024")</f>
        <v/>
      </c>
      <c r="X19">
        <f>HYPERLINK("https://klasma.github.io/Logging_0139/tillsyn/A 39752-2024 tillsynsbegäran.docx", "A 39752-2024")</f>
        <v/>
      </c>
      <c r="Y19">
        <f>HYPERLINK("https://klasma.github.io/Logging_0139/tillsynsmail/A 39752-2024 tillsynsbegäran mail.docx", "A 39752-2024")</f>
        <v/>
      </c>
      <c r="Z19">
        <f>HYPERLINK("https://klasma.github.io/Logging_0139/fåglar/A 39752-2024 prioriterade fågelarter.docx", "A 39752-2024")</f>
        <v/>
      </c>
    </row>
    <row r="20" ht="15" customHeight="1">
      <c r="A20" t="inlineStr">
        <is>
          <t>A 28481-2019</t>
        </is>
      </c>
      <c r="B20" s="1" t="n">
        <v>43614</v>
      </c>
      <c r="C20" s="1" t="n">
        <v>45687</v>
      </c>
      <c r="D20" t="inlineStr">
        <is>
          <t>STOCKHOLMS LÄN</t>
        </is>
      </c>
      <c r="E20" t="inlineStr">
        <is>
          <t>UPPLANDS-BRO</t>
        </is>
      </c>
      <c r="F20" t="inlineStr">
        <is>
          <t>Allmännings- och besparingsskogar</t>
        </is>
      </c>
      <c r="G20" t="n">
        <v>1.8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33732-2019</t>
        </is>
      </c>
      <c r="B21" s="1" t="n">
        <v>43644</v>
      </c>
      <c r="C21" s="1" t="n">
        <v>45687</v>
      </c>
      <c r="D21" t="inlineStr">
        <is>
          <t>STOCKHOLMS LÄN</t>
        </is>
      </c>
      <c r="E21" t="inlineStr">
        <is>
          <t>UPPLANDS-BRO</t>
        </is>
      </c>
      <c r="G21" t="n">
        <v>0.9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35187-2019</t>
        </is>
      </c>
      <c r="B22" s="1" t="n">
        <v>43661</v>
      </c>
      <c r="C22" s="1" t="n">
        <v>45687</v>
      </c>
      <c r="D22" t="inlineStr">
        <is>
          <t>STOCKHOLMS LÄN</t>
        </is>
      </c>
      <c r="E22" t="inlineStr">
        <is>
          <t>UPPLANDS-BRO</t>
        </is>
      </c>
      <c r="F22" t="inlineStr">
        <is>
          <t>Allmännings- och besparingsskogar</t>
        </is>
      </c>
      <c r="G22" t="n">
        <v>0.7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36722-2019</t>
        </is>
      </c>
      <c r="B23" s="1" t="n">
        <v>43671</v>
      </c>
      <c r="C23" s="1" t="n">
        <v>45687</v>
      </c>
      <c r="D23" t="inlineStr">
        <is>
          <t>STOCKHOLMS LÄN</t>
        </is>
      </c>
      <c r="E23" t="inlineStr">
        <is>
          <t>UPPLANDS-BRO</t>
        </is>
      </c>
      <c r="G23" t="n">
        <v>1.6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36725-2019</t>
        </is>
      </c>
      <c r="B24" s="1" t="n">
        <v>43671</v>
      </c>
      <c r="C24" s="1" t="n">
        <v>45687</v>
      </c>
      <c r="D24" t="inlineStr">
        <is>
          <t>STOCKHOLMS LÄN</t>
        </is>
      </c>
      <c r="E24" t="inlineStr">
        <is>
          <t>UPPLANDS-BRO</t>
        </is>
      </c>
      <c r="G24" t="n">
        <v>2.7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36728-2019</t>
        </is>
      </c>
      <c r="B25" s="1" t="n">
        <v>43671</v>
      </c>
      <c r="C25" s="1" t="n">
        <v>45687</v>
      </c>
      <c r="D25" t="inlineStr">
        <is>
          <t>STOCKHOLMS LÄN</t>
        </is>
      </c>
      <c r="E25" t="inlineStr">
        <is>
          <t>UPPLANDS-BRO</t>
        </is>
      </c>
      <c r="G25" t="n">
        <v>1.6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39472-2019</t>
        </is>
      </c>
      <c r="B26" s="1" t="n">
        <v>43691</v>
      </c>
      <c r="C26" s="1" t="n">
        <v>45687</v>
      </c>
      <c r="D26" t="inlineStr">
        <is>
          <t>STOCKHOLMS LÄN</t>
        </is>
      </c>
      <c r="E26" t="inlineStr">
        <is>
          <t>UPPLANDS-BRO</t>
        </is>
      </c>
      <c r="G26" t="n">
        <v>0.9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63370-2019</t>
        </is>
      </c>
      <c r="B27" s="1" t="n">
        <v>43794</v>
      </c>
      <c r="C27" s="1" t="n">
        <v>45687</v>
      </c>
      <c r="D27" t="inlineStr">
        <is>
          <t>STOCKHOLMS LÄN</t>
        </is>
      </c>
      <c r="E27" t="inlineStr">
        <is>
          <t>UPPLANDS-BRO</t>
        </is>
      </c>
      <c r="G27" t="n">
        <v>7.2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63745-2019</t>
        </is>
      </c>
      <c r="B28" s="1" t="n">
        <v>43795</v>
      </c>
      <c r="C28" s="1" t="n">
        <v>45687</v>
      </c>
      <c r="D28" t="inlineStr">
        <is>
          <t>STOCKHOLMS LÄN</t>
        </is>
      </c>
      <c r="E28" t="inlineStr">
        <is>
          <t>UPPLANDS-BRO</t>
        </is>
      </c>
      <c r="F28" t="inlineStr">
        <is>
          <t>Övriga statliga verk och myndigheter</t>
        </is>
      </c>
      <c r="G28" t="n">
        <v>12.9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65405-2019</t>
        </is>
      </c>
      <c r="B29" s="1" t="n">
        <v>43798</v>
      </c>
      <c r="C29" s="1" t="n">
        <v>45687</v>
      </c>
      <c r="D29" t="inlineStr">
        <is>
          <t>STOCKHOLMS LÄN</t>
        </is>
      </c>
      <c r="E29" t="inlineStr">
        <is>
          <t>UPPLANDS-BRO</t>
        </is>
      </c>
      <c r="G29" t="n">
        <v>6.6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68236-2019</t>
        </is>
      </c>
      <c r="B30" s="1" t="n">
        <v>43817</v>
      </c>
      <c r="C30" s="1" t="n">
        <v>45687</v>
      </c>
      <c r="D30" t="inlineStr">
        <is>
          <t>STOCKHOLMS LÄN</t>
        </is>
      </c>
      <c r="E30" t="inlineStr">
        <is>
          <t>UPPLANDS-BRO</t>
        </is>
      </c>
      <c r="G30" t="n">
        <v>0.9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6370-2020</t>
        </is>
      </c>
      <c r="B31" s="1" t="n">
        <v>43866</v>
      </c>
      <c r="C31" s="1" t="n">
        <v>45687</v>
      </c>
      <c r="D31" t="inlineStr">
        <is>
          <t>STOCKHOLMS LÄN</t>
        </is>
      </c>
      <c r="E31" t="inlineStr">
        <is>
          <t>UPPLANDS-BRO</t>
        </is>
      </c>
      <c r="G31" t="n">
        <v>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6357-2020</t>
        </is>
      </c>
      <c r="B32" s="1" t="n">
        <v>43866</v>
      </c>
      <c r="C32" s="1" t="n">
        <v>45687</v>
      </c>
      <c r="D32" t="inlineStr">
        <is>
          <t>STOCKHOLMS LÄN</t>
        </is>
      </c>
      <c r="E32" t="inlineStr">
        <is>
          <t>UPPLANDS-BRO</t>
        </is>
      </c>
      <c r="G32" t="n">
        <v>2.2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31196-2020</t>
        </is>
      </c>
      <c r="B33" s="1" t="n">
        <v>44012</v>
      </c>
      <c r="C33" s="1" t="n">
        <v>45687</v>
      </c>
      <c r="D33" t="inlineStr">
        <is>
          <t>STOCKHOLMS LÄN</t>
        </is>
      </c>
      <c r="E33" t="inlineStr">
        <is>
          <t>UPPLANDS-BRO</t>
        </is>
      </c>
      <c r="G33" t="n">
        <v>1.1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36248-2020</t>
        </is>
      </c>
      <c r="B34" s="1" t="n">
        <v>44049</v>
      </c>
      <c r="C34" s="1" t="n">
        <v>45687</v>
      </c>
      <c r="D34" t="inlineStr">
        <is>
          <t>STOCKHOLMS LÄN</t>
        </is>
      </c>
      <c r="E34" t="inlineStr">
        <is>
          <t>UPPLANDS-BRO</t>
        </is>
      </c>
      <c r="G34" t="n">
        <v>3.6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49686-2020</t>
        </is>
      </c>
      <c r="B35" s="1" t="n">
        <v>44106</v>
      </c>
      <c r="C35" s="1" t="n">
        <v>45687</v>
      </c>
      <c r="D35" t="inlineStr">
        <is>
          <t>STOCKHOLMS LÄN</t>
        </is>
      </c>
      <c r="E35" t="inlineStr">
        <is>
          <t>UPPLANDS-BRO</t>
        </is>
      </c>
      <c r="G35" t="n">
        <v>1.5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50698-2020</t>
        </is>
      </c>
      <c r="B36" s="1" t="n">
        <v>44111</v>
      </c>
      <c r="C36" s="1" t="n">
        <v>45687</v>
      </c>
      <c r="D36" t="inlineStr">
        <is>
          <t>STOCKHOLMS LÄN</t>
        </is>
      </c>
      <c r="E36" t="inlineStr">
        <is>
          <t>UPPLANDS-BRO</t>
        </is>
      </c>
      <c r="F36" t="inlineStr">
        <is>
          <t>Övriga statliga verk och myndigheter</t>
        </is>
      </c>
      <c r="G36" t="n">
        <v>2.2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55541-2020</t>
        </is>
      </c>
      <c r="B37" s="1" t="n">
        <v>44131</v>
      </c>
      <c r="C37" s="1" t="n">
        <v>45687</v>
      </c>
      <c r="D37" t="inlineStr">
        <is>
          <t>STOCKHOLMS LÄN</t>
        </is>
      </c>
      <c r="E37" t="inlineStr">
        <is>
          <t>UPPLANDS-BRO</t>
        </is>
      </c>
      <c r="G37" t="n">
        <v>2.3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64015-2020</t>
        </is>
      </c>
      <c r="B38" s="1" t="n">
        <v>44167</v>
      </c>
      <c r="C38" s="1" t="n">
        <v>45687</v>
      </c>
      <c r="D38" t="inlineStr">
        <is>
          <t>STOCKHOLMS LÄN</t>
        </is>
      </c>
      <c r="E38" t="inlineStr">
        <is>
          <t>UPPLANDS-BRO</t>
        </is>
      </c>
      <c r="F38" t="inlineStr">
        <is>
          <t>Övriga statliga verk och myndigheter</t>
        </is>
      </c>
      <c r="G38" t="n">
        <v>8.1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65954-2020</t>
        </is>
      </c>
      <c r="B39" s="1" t="n">
        <v>44175</v>
      </c>
      <c r="C39" s="1" t="n">
        <v>45687</v>
      </c>
      <c r="D39" t="inlineStr">
        <is>
          <t>STOCKHOLMS LÄN</t>
        </is>
      </c>
      <c r="E39" t="inlineStr">
        <is>
          <t>UPPLANDS-BRO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66949-2020</t>
        </is>
      </c>
      <c r="B40" s="1" t="n">
        <v>44180</v>
      </c>
      <c r="C40" s="1" t="n">
        <v>45687</v>
      </c>
      <c r="D40" t="inlineStr">
        <is>
          <t>STOCKHOLMS LÄN</t>
        </is>
      </c>
      <c r="E40" t="inlineStr">
        <is>
          <t>UPPLANDS-BRO</t>
        </is>
      </c>
      <c r="F40" t="inlineStr">
        <is>
          <t>Övriga statliga verk och myndigheter</t>
        </is>
      </c>
      <c r="G40" t="n">
        <v>3.4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66926-2020</t>
        </is>
      </c>
      <c r="B41" s="1" t="n">
        <v>44180</v>
      </c>
      <c r="C41" s="1" t="n">
        <v>45687</v>
      </c>
      <c r="D41" t="inlineStr">
        <is>
          <t>STOCKHOLMS LÄN</t>
        </is>
      </c>
      <c r="E41" t="inlineStr">
        <is>
          <t>UPPLANDS-BRO</t>
        </is>
      </c>
      <c r="F41" t="inlineStr">
        <is>
          <t>Övriga statliga verk och myndigheter</t>
        </is>
      </c>
      <c r="G41" t="n">
        <v>5.2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66960-2020</t>
        </is>
      </c>
      <c r="B42" s="1" t="n">
        <v>44180</v>
      </c>
      <c r="C42" s="1" t="n">
        <v>45687</v>
      </c>
      <c r="D42" t="inlineStr">
        <is>
          <t>STOCKHOLMS LÄN</t>
        </is>
      </c>
      <c r="E42" t="inlineStr">
        <is>
          <t>UPPLANDS-BRO</t>
        </is>
      </c>
      <c r="F42" t="inlineStr">
        <is>
          <t>Övriga statliga verk och myndigheter</t>
        </is>
      </c>
      <c r="G42" t="n">
        <v>15.2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67286-2020</t>
        </is>
      </c>
      <c r="B43" s="1" t="n">
        <v>44181</v>
      </c>
      <c r="C43" s="1" t="n">
        <v>45687</v>
      </c>
      <c r="D43" t="inlineStr">
        <is>
          <t>STOCKHOLMS LÄN</t>
        </is>
      </c>
      <c r="E43" t="inlineStr">
        <is>
          <t>UPPLANDS-BRO</t>
        </is>
      </c>
      <c r="F43" t="inlineStr">
        <is>
          <t>Övriga statliga verk och myndigheter</t>
        </is>
      </c>
      <c r="G43" t="n">
        <v>7.3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67275-2020</t>
        </is>
      </c>
      <c r="B44" s="1" t="n">
        <v>44181</v>
      </c>
      <c r="C44" s="1" t="n">
        <v>45687</v>
      </c>
      <c r="D44" t="inlineStr">
        <is>
          <t>STOCKHOLMS LÄN</t>
        </is>
      </c>
      <c r="E44" t="inlineStr">
        <is>
          <t>UPPLANDS-BRO</t>
        </is>
      </c>
      <c r="F44" t="inlineStr">
        <is>
          <t>Övriga statliga verk och myndigheter</t>
        </is>
      </c>
      <c r="G44" t="n">
        <v>19.7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14894-2021</t>
        </is>
      </c>
      <c r="B45" s="1" t="n">
        <v>44281</v>
      </c>
      <c r="C45" s="1" t="n">
        <v>45687</v>
      </c>
      <c r="D45" t="inlineStr">
        <is>
          <t>STOCKHOLMS LÄN</t>
        </is>
      </c>
      <c r="E45" t="inlineStr">
        <is>
          <t>UPPLANDS-BRO</t>
        </is>
      </c>
      <c r="G45" t="n">
        <v>3.6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14897-2021</t>
        </is>
      </c>
      <c r="B46" s="1" t="n">
        <v>44281</v>
      </c>
      <c r="C46" s="1" t="n">
        <v>45687</v>
      </c>
      <c r="D46" t="inlineStr">
        <is>
          <t>STOCKHOLMS LÄN</t>
        </is>
      </c>
      <c r="E46" t="inlineStr">
        <is>
          <t>UPPLANDS-BRO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18760-2021</t>
        </is>
      </c>
      <c r="B47" s="1" t="n">
        <v>44307</v>
      </c>
      <c r="C47" s="1" t="n">
        <v>45687</v>
      </c>
      <c r="D47" t="inlineStr">
        <is>
          <t>STOCKHOLMS LÄN</t>
        </is>
      </c>
      <c r="E47" t="inlineStr">
        <is>
          <t>UPPLANDS-BRO</t>
        </is>
      </c>
      <c r="G47" t="n">
        <v>2.2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21560-2021</t>
        </is>
      </c>
      <c r="B48" s="1" t="n">
        <v>44321</v>
      </c>
      <c r="C48" s="1" t="n">
        <v>45687</v>
      </c>
      <c r="D48" t="inlineStr">
        <is>
          <t>STOCKHOLMS LÄN</t>
        </is>
      </c>
      <c r="E48" t="inlineStr">
        <is>
          <t>UPPLANDS-BRO</t>
        </is>
      </c>
      <c r="G48" t="n">
        <v>1.6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24308-2021</t>
        </is>
      </c>
      <c r="B49" s="1" t="n">
        <v>44336</v>
      </c>
      <c r="C49" s="1" t="n">
        <v>45687</v>
      </c>
      <c r="D49" t="inlineStr">
        <is>
          <t>STOCKHOLMS LÄN</t>
        </is>
      </c>
      <c r="E49" t="inlineStr">
        <is>
          <t>UPPLANDS-BRO</t>
        </is>
      </c>
      <c r="G49" t="n">
        <v>1.4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27805-2021</t>
        </is>
      </c>
      <c r="B50" s="1" t="n">
        <v>44354</v>
      </c>
      <c r="C50" s="1" t="n">
        <v>45687</v>
      </c>
      <c r="D50" t="inlineStr">
        <is>
          <t>STOCKHOLMS LÄN</t>
        </is>
      </c>
      <c r="E50" t="inlineStr">
        <is>
          <t>UPPLANDS-BRO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31370-2021</t>
        </is>
      </c>
      <c r="B51" s="1" t="n">
        <v>44368</v>
      </c>
      <c r="C51" s="1" t="n">
        <v>45687</v>
      </c>
      <c r="D51" t="inlineStr">
        <is>
          <t>STOCKHOLMS LÄN</t>
        </is>
      </c>
      <c r="E51" t="inlineStr">
        <is>
          <t>UPPLANDS-BRO</t>
        </is>
      </c>
      <c r="G51" t="n">
        <v>4.8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36111-2021</t>
        </is>
      </c>
      <c r="B52" s="1" t="n">
        <v>44389</v>
      </c>
      <c r="C52" s="1" t="n">
        <v>45687</v>
      </c>
      <c r="D52" t="inlineStr">
        <is>
          <t>STOCKHOLMS LÄN</t>
        </is>
      </c>
      <c r="E52" t="inlineStr">
        <is>
          <t>UPPLANDS-BRO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37335-2021</t>
        </is>
      </c>
      <c r="B53" s="1" t="n">
        <v>44397</v>
      </c>
      <c r="C53" s="1" t="n">
        <v>45687</v>
      </c>
      <c r="D53" t="inlineStr">
        <is>
          <t>STOCKHOLMS LÄN</t>
        </is>
      </c>
      <c r="E53" t="inlineStr">
        <is>
          <t>UPPLANDS-BRO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37421-2021</t>
        </is>
      </c>
      <c r="B54" s="1" t="n">
        <v>44397</v>
      </c>
      <c r="C54" s="1" t="n">
        <v>45687</v>
      </c>
      <c r="D54" t="inlineStr">
        <is>
          <t>STOCKHOLMS LÄN</t>
        </is>
      </c>
      <c r="E54" t="inlineStr">
        <is>
          <t>UPPLANDS-BRO</t>
        </is>
      </c>
      <c r="F54" t="inlineStr">
        <is>
          <t>Allmännings- och besparingsskogar</t>
        </is>
      </c>
      <c r="G54" t="n">
        <v>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40514-2021</t>
        </is>
      </c>
      <c r="B55" s="1" t="n">
        <v>44420</v>
      </c>
      <c r="C55" s="1" t="n">
        <v>45687</v>
      </c>
      <c r="D55" t="inlineStr">
        <is>
          <t>STOCKHOLMS LÄN</t>
        </is>
      </c>
      <c r="E55" t="inlineStr">
        <is>
          <t>UPPLANDS-BRO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40510-2021</t>
        </is>
      </c>
      <c r="B56" s="1" t="n">
        <v>44420</v>
      </c>
      <c r="C56" s="1" t="n">
        <v>45687</v>
      </c>
      <c r="D56" t="inlineStr">
        <is>
          <t>STOCKHOLMS LÄN</t>
        </is>
      </c>
      <c r="E56" t="inlineStr">
        <is>
          <t>UPPLANDS-BRO</t>
        </is>
      </c>
      <c r="G56" t="n">
        <v>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41465-2021</t>
        </is>
      </c>
      <c r="B57" s="1" t="n">
        <v>44424</v>
      </c>
      <c r="C57" s="1" t="n">
        <v>45687</v>
      </c>
      <c r="D57" t="inlineStr">
        <is>
          <t>STOCKHOLMS LÄN</t>
        </is>
      </c>
      <c r="E57" t="inlineStr">
        <is>
          <t>UPPLANDS-BRO</t>
        </is>
      </c>
      <c r="G57" t="n">
        <v>2.2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41463-2021</t>
        </is>
      </c>
      <c r="B58" s="1" t="n">
        <v>44424</v>
      </c>
      <c r="C58" s="1" t="n">
        <v>45687</v>
      </c>
      <c r="D58" t="inlineStr">
        <is>
          <t>STOCKHOLMS LÄN</t>
        </is>
      </c>
      <c r="E58" t="inlineStr">
        <is>
          <t>UPPLANDS-BRO</t>
        </is>
      </c>
      <c r="G58" t="n">
        <v>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46244-2021</t>
        </is>
      </c>
      <c r="B59" s="1" t="n">
        <v>44442</v>
      </c>
      <c r="C59" s="1" t="n">
        <v>45687</v>
      </c>
      <c r="D59" t="inlineStr">
        <is>
          <t>STOCKHOLMS LÄN</t>
        </is>
      </c>
      <c r="E59" t="inlineStr">
        <is>
          <t>UPPLANDS-BRO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49622-2021</t>
        </is>
      </c>
      <c r="B60" s="1" t="n">
        <v>44455</v>
      </c>
      <c r="C60" s="1" t="n">
        <v>45687</v>
      </c>
      <c r="D60" t="inlineStr">
        <is>
          <t>STOCKHOLMS LÄN</t>
        </is>
      </c>
      <c r="E60" t="inlineStr">
        <is>
          <t>UPPLANDS-BRO</t>
        </is>
      </c>
      <c r="G60" t="n">
        <v>3.8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56756-2021</t>
        </is>
      </c>
      <c r="B61" s="1" t="n">
        <v>44481</v>
      </c>
      <c r="C61" s="1" t="n">
        <v>45687</v>
      </c>
      <c r="D61" t="inlineStr">
        <is>
          <t>STOCKHOLMS LÄN</t>
        </is>
      </c>
      <c r="E61" t="inlineStr">
        <is>
          <t>UPPLANDS-BRO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57993-2021</t>
        </is>
      </c>
      <c r="B62" s="1" t="n">
        <v>44487</v>
      </c>
      <c r="C62" s="1" t="n">
        <v>45687</v>
      </c>
      <c r="D62" t="inlineStr">
        <is>
          <t>STOCKHOLMS LÄN</t>
        </is>
      </c>
      <c r="E62" t="inlineStr">
        <is>
          <t>UPPLANDS-BRO</t>
        </is>
      </c>
      <c r="F62" t="inlineStr">
        <is>
          <t>Övriga statliga verk och myndigheter</t>
        </is>
      </c>
      <c r="G62" t="n">
        <v>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58011-2021</t>
        </is>
      </c>
      <c r="B63" s="1" t="n">
        <v>44487</v>
      </c>
      <c r="C63" s="1" t="n">
        <v>45687</v>
      </c>
      <c r="D63" t="inlineStr">
        <is>
          <t>STOCKHOLMS LÄN</t>
        </is>
      </c>
      <c r="E63" t="inlineStr">
        <is>
          <t>UPPLANDS-BRO</t>
        </is>
      </c>
      <c r="F63" t="inlineStr">
        <is>
          <t>Övriga statliga verk och myndigheter</t>
        </is>
      </c>
      <c r="G63" t="n">
        <v>9.199999999999999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58669-2021</t>
        </is>
      </c>
      <c r="B64" s="1" t="n">
        <v>44489</v>
      </c>
      <c r="C64" s="1" t="n">
        <v>45687</v>
      </c>
      <c r="D64" t="inlineStr">
        <is>
          <t>STOCKHOLMS LÄN</t>
        </is>
      </c>
      <c r="E64" t="inlineStr">
        <is>
          <t>UPPLANDS-BRO</t>
        </is>
      </c>
      <c r="F64" t="inlineStr">
        <is>
          <t>Övriga statliga verk och myndigheter</t>
        </is>
      </c>
      <c r="G64" t="n">
        <v>20.7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58663-2021</t>
        </is>
      </c>
      <c r="B65" s="1" t="n">
        <v>44489</v>
      </c>
      <c r="C65" s="1" t="n">
        <v>45687</v>
      </c>
      <c r="D65" t="inlineStr">
        <is>
          <t>STOCKHOLMS LÄN</t>
        </is>
      </c>
      <c r="E65" t="inlineStr">
        <is>
          <t>UPPLANDS-BRO</t>
        </is>
      </c>
      <c r="F65" t="inlineStr">
        <is>
          <t>Övriga statliga verk och myndigheter</t>
        </is>
      </c>
      <c r="G65" t="n">
        <v>4.3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59700-2021</t>
        </is>
      </c>
      <c r="B66" s="1" t="n">
        <v>44494</v>
      </c>
      <c r="C66" s="1" t="n">
        <v>45687</v>
      </c>
      <c r="D66" t="inlineStr">
        <is>
          <t>STOCKHOLMS LÄN</t>
        </is>
      </c>
      <c r="E66" t="inlineStr">
        <is>
          <t>UPPLANDS-BRO</t>
        </is>
      </c>
      <c r="F66" t="inlineStr">
        <is>
          <t>Övriga statliga verk och myndigheter</t>
        </is>
      </c>
      <c r="G66" t="n">
        <v>4.8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68554-2021</t>
        </is>
      </c>
      <c r="B67" s="1" t="n">
        <v>44529</v>
      </c>
      <c r="C67" s="1" t="n">
        <v>45687</v>
      </c>
      <c r="D67" t="inlineStr">
        <is>
          <t>STOCKHOLMS LÄN</t>
        </is>
      </c>
      <c r="E67" t="inlineStr">
        <is>
          <t>UPPLANDS-BRO</t>
        </is>
      </c>
      <c r="F67" t="inlineStr">
        <is>
          <t>Övriga statliga verk och myndigheter</t>
        </is>
      </c>
      <c r="G67" t="n">
        <v>3.3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68564-2021</t>
        </is>
      </c>
      <c r="B68" s="1" t="n">
        <v>44529</v>
      </c>
      <c r="C68" s="1" t="n">
        <v>45687</v>
      </c>
      <c r="D68" t="inlineStr">
        <is>
          <t>STOCKHOLMS LÄN</t>
        </is>
      </c>
      <c r="E68" t="inlineStr">
        <is>
          <t>UPPLANDS-BRO</t>
        </is>
      </c>
      <c r="F68" t="inlineStr">
        <is>
          <t>Övriga statliga verk och myndigheter</t>
        </is>
      </c>
      <c r="G68" t="n">
        <v>6.9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72523-2021</t>
        </is>
      </c>
      <c r="B69" s="1" t="n">
        <v>44546</v>
      </c>
      <c r="C69" s="1" t="n">
        <v>45687</v>
      </c>
      <c r="D69" t="inlineStr">
        <is>
          <t>STOCKHOLMS LÄN</t>
        </is>
      </c>
      <c r="E69" t="inlineStr">
        <is>
          <t>UPPLANDS-BRO</t>
        </is>
      </c>
      <c r="G69" t="n">
        <v>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72524-2021</t>
        </is>
      </c>
      <c r="B70" s="1" t="n">
        <v>44546</v>
      </c>
      <c r="C70" s="1" t="n">
        <v>45687</v>
      </c>
      <c r="D70" t="inlineStr">
        <is>
          <t>STOCKHOLMS LÄN</t>
        </is>
      </c>
      <c r="E70" t="inlineStr">
        <is>
          <t>UPPLANDS-BRO</t>
        </is>
      </c>
      <c r="G70" t="n">
        <v>3.6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3838-2022</t>
        </is>
      </c>
      <c r="B71" s="1" t="n">
        <v>44587</v>
      </c>
      <c r="C71" s="1" t="n">
        <v>45687</v>
      </c>
      <c r="D71" t="inlineStr">
        <is>
          <t>STOCKHOLMS LÄN</t>
        </is>
      </c>
      <c r="E71" t="inlineStr">
        <is>
          <t>UPPLANDS-BRO</t>
        </is>
      </c>
      <c r="G71" t="n">
        <v>2.9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6982-2022</t>
        </is>
      </c>
      <c r="B72" s="1" t="n">
        <v>44603</v>
      </c>
      <c r="C72" s="1" t="n">
        <v>45687</v>
      </c>
      <c r="D72" t="inlineStr">
        <is>
          <t>STOCKHOLMS LÄN</t>
        </is>
      </c>
      <c r="E72" t="inlineStr">
        <is>
          <t>UPPLANDS-BRO</t>
        </is>
      </c>
      <c r="G72" t="n">
        <v>6.5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7275-2022</t>
        </is>
      </c>
      <c r="B73" s="1" t="n">
        <v>44606</v>
      </c>
      <c r="C73" s="1" t="n">
        <v>45687</v>
      </c>
      <c r="D73" t="inlineStr">
        <is>
          <t>STOCKHOLMS LÄN</t>
        </is>
      </c>
      <c r="E73" t="inlineStr">
        <is>
          <t>UPPLANDS-BRO</t>
        </is>
      </c>
      <c r="F73" t="inlineStr">
        <is>
          <t>Övriga statliga verk och myndigheter</t>
        </is>
      </c>
      <c r="G73" t="n">
        <v>9.6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8261-2022</t>
        </is>
      </c>
      <c r="B74" s="1" t="n">
        <v>44609</v>
      </c>
      <c r="C74" s="1" t="n">
        <v>45687</v>
      </c>
      <c r="D74" t="inlineStr">
        <is>
          <t>STOCKHOLMS LÄN</t>
        </is>
      </c>
      <c r="E74" t="inlineStr">
        <is>
          <t>UPPLANDS-BRO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14719-2022</t>
        </is>
      </c>
      <c r="B75" s="1" t="n">
        <v>44655</v>
      </c>
      <c r="C75" s="1" t="n">
        <v>45687</v>
      </c>
      <c r="D75" t="inlineStr">
        <is>
          <t>STOCKHOLMS LÄN</t>
        </is>
      </c>
      <c r="E75" t="inlineStr">
        <is>
          <t>UPPLANDS-BRO</t>
        </is>
      </c>
      <c r="F75" t="inlineStr">
        <is>
          <t>Allmännings- och besparingsskogar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20604-2022</t>
        </is>
      </c>
      <c r="B76" s="1" t="n">
        <v>44700</v>
      </c>
      <c r="C76" s="1" t="n">
        <v>45687</v>
      </c>
      <c r="D76" t="inlineStr">
        <is>
          <t>STOCKHOLMS LÄN</t>
        </is>
      </c>
      <c r="E76" t="inlineStr">
        <is>
          <t>UPPLANDS-BRO</t>
        </is>
      </c>
      <c r="G76" t="n">
        <v>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20607-2022</t>
        </is>
      </c>
      <c r="B77" s="1" t="n">
        <v>44700</v>
      </c>
      <c r="C77" s="1" t="n">
        <v>45687</v>
      </c>
      <c r="D77" t="inlineStr">
        <is>
          <t>STOCKHOLMS LÄN</t>
        </is>
      </c>
      <c r="E77" t="inlineStr">
        <is>
          <t>UPPLANDS-BRO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29786-2022</t>
        </is>
      </c>
      <c r="B78" s="1" t="n">
        <v>44755</v>
      </c>
      <c r="C78" s="1" t="n">
        <v>45687</v>
      </c>
      <c r="D78" t="inlineStr">
        <is>
          <t>STOCKHOLMS LÄN</t>
        </is>
      </c>
      <c r="E78" t="inlineStr">
        <is>
          <t>UPPLANDS-BRO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29784-2022</t>
        </is>
      </c>
      <c r="B79" s="1" t="n">
        <v>44755</v>
      </c>
      <c r="C79" s="1" t="n">
        <v>45687</v>
      </c>
      <c r="D79" t="inlineStr">
        <is>
          <t>STOCKHOLMS LÄN</t>
        </is>
      </c>
      <c r="E79" t="inlineStr">
        <is>
          <t>UPPLANDS-BRO</t>
        </is>
      </c>
      <c r="F79" t="inlineStr">
        <is>
          <t>Allmännings- och besparingsskogar</t>
        </is>
      </c>
      <c r="G79" t="n">
        <v>2.9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31160-2022</t>
        </is>
      </c>
      <c r="B80" s="1" t="n">
        <v>44770</v>
      </c>
      <c r="C80" s="1" t="n">
        <v>45687</v>
      </c>
      <c r="D80" t="inlineStr">
        <is>
          <t>STOCKHOLMS LÄN</t>
        </is>
      </c>
      <c r="E80" t="inlineStr">
        <is>
          <t>UPPLANDS-BRO</t>
        </is>
      </c>
      <c r="G80" t="n">
        <v>3.7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46153-2022</t>
        </is>
      </c>
      <c r="B81" s="1" t="n">
        <v>44845</v>
      </c>
      <c r="C81" s="1" t="n">
        <v>45687</v>
      </c>
      <c r="D81" t="inlineStr">
        <is>
          <t>STOCKHOLMS LÄN</t>
        </is>
      </c>
      <c r="E81" t="inlineStr">
        <is>
          <t>UPPLANDS-BRO</t>
        </is>
      </c>
      <c r="F81" t="inlineStr">
        <is>
          <t>Övriga statliga verk och myndigheter</t>
        </is>
      </c>
      <c r="G81" t="n">
        <v>13.4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50905-2022</t>
        </is>
      </c>
      <c r="B82" s="1" t="n">
        <v>44865</v>
      </c>
      <c r="C82" s="1" t="n">
        <v>45687</v>
      </c>
      <c r="D82" t="inlineStr">
        <is>
          <t>STOCKHOLMS LÄN</t>
        </is>
      </c>
      <c r="E82" t="inlineStr">
        <is>
          <t>UPPLANDS-BRO</t>
        </is>
      </c>
      <c r="F82" t="inlineStr">
        <is>
          <t>Övriga statliga verk och myndigheter</t>
        </is>
      </c>
      <c r="G82" t="n">
        <v>4.8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59836-2022</t>
        </is>
      </c>
      <c r="B83" s="1" t="n">
        <v>44901</v>
      </c>
      <c r="C83" s="1" t="n">
        <v>45687</v>
      </c>
      <c r="D83" t="inlineStr">
        <is>
          <t>STOCKHOLMS LÄN</t>
        </is>
      </c>
      <c r="E83" t="inlineStr">
        <is>
          <t>UPPLANDS-BRO</t>
        </is>
      </c>
      <c r="F83" t="inlineStr">
        <is>
          <t>Övriga statliga verk och myndigheter</t>
        </is>
      </c>
      <c r="G83" t="n">
        <v>11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59844-2022</t>
        </is>
      </c>
      <c r="B84" s="1" t="n">
        <v>44901</v>
      </c>
      <c r="C84" s="1" t="n">
        <v>45687</v>
      </c>
      <c r="D84" t="inlineStr">
        <is>
          <t>STOCKHOLMS LÄN</t>
        </is>
      </c>
      <c r="E84" t="inlineStr">
        <is>
          <t>UPPLANDS-BRO</t>
        </is>
      </c>
      <c r="F84" t="inlineStr">
        <is>
          <t>Övriga statliga verk och myndigheter</t>
        </is>
      </c>
      <c r="G84" t="n">
        <v>11.9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59848-2022</t>
        </is>
      </c>
      <c r="B85" s="1" t="n">
        <v>44901</v>
      </c>
      <c r="C85" s="1" t="n">
        <v>45687</v>
      </c>
      <c r="D85" t="inlineStr">
        <is>
          <t>STOCKHOLMS LÄN</t>
        </is>
      </c>
      <c r="E85" t="inlineStr">
        <is>
          <t>UPPLANDS-BRO</t>
        </is>
      </c>
      <c r="F85" t="inlineStr">
        <is>
          <t>Övriga statliga verk och myndigheter</t>
        </is>
      </c>
      <c r="G85" t="n">
        <v>10.7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59402-2022</t>
        </is>
      </c>
      <c r="B86" s="1" t="n">
        <v>44906</v>
      </c>
      <c r="C86" s="1" t="n">
        <v>45687</v>
      </c>
      <c r="D86" t="inlineStr">
        <is>
          <t>STOCKHOLMS LÄN</t>
        </is>
      </c>
      <c r="E86" t="inlineStr">
        <is>
          <t>UPPLANDS-BRO</t>
        </is>
      </c>
      <c r="G86" t="n">
        <v>1.8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3594-2023</t>
        </is>
      </c>
      <c r="B87" s="1" t="n">
        <v>44950</v>
      </c>
      <c r="C87" s="1" t="n">
        <v>45687</v>
      </c>
      <c r="D87" t="inlineStr">
        <is>
          <t>STOCKHOLMS LÄN</t>
        </is>
      </c>
      <c r="E87" t="inlineStr">
        <is>
          <t>UPPLANDS-BRO</t>
        </is>
      </c>
      <c r="G87" t="n">
        <v>3.9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3622-2023</t>
        </is>
      </c>
      <c r="B88" s="1" t="n">
        <v>44950</v>
      </c>
      <c r="C88" s="1" t="n">
        <v>45687</v>
      </c>
      <c r="D88" t="inlineStr">
        <is>
          <t>STOCKHOLMS LÄN</t>
        </is>
      </c>
      <c r="E88" t="inlineStr">
        <is>
          <t>UPPLANDS-BRO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3630-2023</t>
        </is>
      </c>
      <c r="B89" s="1" t="n">
        <v>44950</v>
      </c>
      <c r="C89" s="1" t="n">
        <v>45687</v>
      </c>
      <c r="D89" t="inlineStr">
        <is>
          <t>STOCKHOLMS LÄN</t>
        </is>
      </c>
      <c r="E89" t="inlineStr">
        <is>
          <t>UPPLANDS-BRO</t>
        </is>
      </c>
      <c r="G89" t="n">
        <v>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4153-2023</t>
        </is>
      </c>
      <c r="B90" s="1" t="n">
        <v>44950</v>
      </c>
      <c r="C90" s="1" t="n">
        <v>45687</v>
      </c>
      <c r="D90" t="inlineStr">
        <is>
          <t>STOCKHOLMS LÄN</t>
        </is>
      </c>
      <c r="E90" t="inlineStr">
        <is>
          <t>UPPLANDS-BRO</t>
        </is>
      </c>
      <c r="F90" t="inlineStr">
        <is>
          <t>Övriga statliga verk och myndigheter</t>
        </is>
      </c>
      <c r="G90" t="n">
        <v>7.3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4338-2023</t>
        </is>
      </c>
      <c r="B91" s="1" t="n">
        <v>44953</v>
      </c>
      <c r="C91" s="1" t="n">
        <v>45687</v>
      </c>
      <c r="D91" t="inlineStr">
        <is>
          <t>STOCKHOLMS LÄN</t>
        </is>
      </c>
      <c r="E91" t="inlineStr">
        <is>
          <t>UPPLANDS-BRO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5264-2023</t>
        </is>
      </c>
      <c r="B92" s="1" t="n">
        <v>44959</v>
      </c>
      <c r="C92" s="1" t="n">
        <v>45687</v>
      </c>
      <c r="D92" t="inlineStr">
        <is>
          <t>STOCKHOLMS LÄN</t>
        </is>
      </c>
      <c r="E92" t="inlineStr">
        <is>
          <t>UPPLANDS-BRO</t>
        </is>
      </c>
      <c r="G92" t="n">
        <v>5.8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14824-2023</t>
        </is>
      </c>
      <c r="B93" s="1" t="n">
        <v>45013</v>
      </c>
      <c r="C93" s="1" t="n">
        <v>45687</v>
      </c>
      <c r="D93" t="inlineStr">
        <is>
          <t>STOCKHOLMS LÄN</t>
        </is>
      </c>
      <c r="E93" t="inlineStr">
        <is>
          <t>UPPLANDS-BRO</t>
        </is>
      </c>
      <c r="F93" t="inlineStr">
        <is>
          <t>Allmännings- och besparingsskogar</t>
        </is>
      </c>
      <c r="G93" t="n">
        <v>2.1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15724-2023</t>
        </is>
      </c>
      <c r="B94" s="1" t="n">
        <v>45021</v>
      </c>
      <c r="C94" s="1" t="n">
        <v>45687</v>
      </c>
      <c r="D94" t="inlineStr">
        <is>
          <t>STOCKHOLMS LÄN</t>
        </is>
      </c>
      <c r="E94" t="inlineStr">
        <is>
          <t>UPPLANDS-BRO</t>
        </is>
      </c>
      <c r="G94" t="n">
        <v>3.9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21659-2023</t>
        </is>
      </c>
      <c r="B95" s="1" t="n">
        <v>45063</v>
      </c>
      <c r="C95" s="1" t="n">
        <v>45687</v>
      </c>
      <c r="D95" t="inlineStr">
        <is>
          <t>STOCKHOLMS LÄN</t>
        </is>
      </c>
      <c r="E95" t="inlineStr">
        <is>
          <t>UPPLANDS-BRO</t>
        </is>
      </c>
      <c r="G95" t="n">
        <v>1.2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27299-2023</t>
        </is>
      </c>
      <c r="B96" s="1" t="n">
        <v>45096</v>
      </c>
      <c r="C96" s="1" t="n">
        <v>45687</v>
      </c>
      <c r="D96" t="inlineStr">
        <is>
          <t>STOCKHOLMS LÄN</t>
        </is>
      </c>
      <c r="E96" t="inlineStr">
        <is>
          <t>UPPLANDS-BRO</t>
        </is>
      </c>
      <c r="G96" t="n">
        <v>3.6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27318-2023</t>
        </is>
      </c>
      <c r="B97" s="1" t="n">
        <v>45096</v>
      </c>
      <c r="C97" s="1" t="n">
        <v>45687</v>
      </c>
      <c r="D97" t="inlineStr">
        <is>
          <t>STOCKHOLMS LÄN</t>
        </is>
      </c>
      <c r="E97" t="inlineStr">
        <is>
          <t>UPPLANDS-BRO</t>
        </is>
      </c>
      <c r="G97" t="n">
        <v>3.3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27313-2023</t>
        </is>
      </c>
      <c r="B98" s="1" t="n">
        <v>45096</v>
      </c>
      <c r="C98" s="1" t="n">
        <v>45687</v>
      </c>
      <c r="D98" t="inlineStr">
        <is>
          <t>STOCKHOLMS LÄN</t>
        </is>
      </c>
      <c r="E98" t="inlineStr">
        <is>
          <t>UPPLANDS-BRO</t>
        </is>
      </c>
      <c r="G98" t="n">
        <v>1.8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46438-2023</t>
        </is>
      </c>
      <c r="B99" s="1" t="n">
        <v>45197</v>
      </c>
      <c r="C99" s="1" t="n">
        <v>45687</v>
      </c>
      <c r="D99" t="inlineStr">
        <is>
          <t>STOCKHOLMS LÄN</t>
        </is>
      </c>
      <c r="E99" t="inlineStr">
        <is>
          <t>UPPLANDS-BRO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46451-2023</t>
        </is>
      </c>
      <c r="B100" s="1" t="n">
        <v>45197</v>
      </c>
      <c r="C100" s="1" t="n">
        <v>45687</v>
      </c>
      <c r="D100" t="inlineStr">
        <is>
          <t>STOCKHOLMS LÄN</t>
        </is>
      </c>
      <c r="E100" t="inlineStr">
        <is>
          <t>UPPLANDS-BRO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46443-2023</t>
        </is>
      </c>
      <c r="B101" s="1" t="n">
        <v>45197</v>
      </c>
      <c r="C101" s="1" t="n">
        <v>45687</v>
      </c>
      <c r="D101" t="inlineStr">
        <is>
          <t>STOCKHOLMS LÄN</t>
        </is>
      </c>
      <c r="E101" t="inlineStr">
        <is>
          <t>UPPLANDS-BRO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49160-2023</t>
        </is>
      </c>
      <c r="B102" s="1" t="n">
        <v>45204</v>
      </c>
      <c r="C102" s="1" t="n">
        <v>45687</v>
      </c>
      <c r="D102" t="inlineStr">
        <is>
          <t>STOCKHOLMS LÄN</t>
        </is>
      </c>
      <c r="E102" t="inlineStr">
        <is>
          <t>UPPLANDS-BRO</t>
        </is>
      </c>
      <c r="F102" t="inlineStr">
        <is>
          <t>Allmännings- och besparingsskogar</t>
        </is>
      </c>
      <c r="G102" t="n">
        <v>1.6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51587-2023</t>
        </is>
      </c>
      <c r="B103" s="1" t="n">
        <v>45215</v>
      </c>
      <c r="C103" s="1" t="n">
        <v>45687</v>
      </c>
      <c r="D103" t="inlineStr">
        <is>
          <t>STOCKHOLMS LÄN</t>
        </is>
      </c>
      <c r="E103" t="inlineStr">
        <is>
          <t>UPPLANDS-BRO</t>
        </is>
      </c>
      <c r="F103" t="inlineStr">
        <is>
          <t>Allmännings- och besparingsskogar</t>
        </is>
      </c>
      <c r="G103" t="n">
        <v>2.6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50294-2023</t>
        </is>
      </c>
      <c r="B104" s="1" t="n">
        <v>45216</v>
      </c>
      <c r="C104" s="1" t="n">
        <v>45687</v>
      </c>
      <c r="D104" t="inlineStr">
        <is>
          <t>STOCKHOLMS LÄN</t>
        </is>
      </c>
      <c r="E104" t="inlineStr">
        <is>
          <t>UPPLANDS-BRO</t>
        </is>
      </c>
      <c r="G104" t="n">
        <v>3.7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54222-2023</t>
        </is>
      </c>
      <c r="B105" s="1" t="n">
        <v>45225</v>
      </c>
      <c r="C105" s="1" t="n">
        <v>45687</v>
      </c>
      <c r="D105" t="inlineStr">
        <is>
          <t>STOCKHOLMS LÄN</t>
        </is>
      </c>
      <c r="E105" t="inlineStr">
        <is>
          <t>UPPLANDS-BRO</t>
        </is>
      </c>
      <c r="F105" t="inlineStr">
        <is>
          <t>Övriga statliga verk och myndigheter</t>
        </is>
      </c>
      <c r="G105" t="n">
        <v>8.300000000000001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53840-2023</t>
        </is>
      </c>
      <c r="B106" s="1" t="n">
        <v>45231</v>
      </c>
      <c r="C106" s="1" t="n">
        <v>45687</v>
      </c>
      <c r="D106" t="inlineStr">
        <is>
          <t>STOCKHOLMS LÄN</t>
        </is>
      </c>
      <c r="E106" t="inlineStr">
        <is>
          <t>UPPLANDS-BRO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53836-2023</t>
        </is>
      </c>
      <c r="B107" s="1" t="n">
        <v>45231</v>
      </c>
      <c r="C107" s="1" t="n">
        <v>45687</v>
      </c>
      <c r="D107" t="inlineStr">
        <is>
          <t>STOCKHOLMS LÄN</t>
        </is>
      </c>
      <c r="E107" t="inlineStr">
        <is>
          <t>UPPLANDS-BRO</t>
        </is>
      </c>
      <c r="G107" t="n">
        <v>1.6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53832-2023</t>
        </is>
      </c>
      <c r="B108" s="1" t="n">
        <v>45231</v>
      </c>
      <c r="C108" s="1" t="n">
        <v>45687</v>
      </c>
      <c r="D108" t="inlineStr">
        <is>
          <t>STOCKHOLMS LÄN</t>
        </is>
      </c>
      <c r="E108" t="inlineStr">
        <is>
          <t>UPPLANDS-BRO</t>
        </is>
      </c>
      <c r="G108" t="n">
        <v>4.4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55586-2023</t>
        </is>
      </c>
      <c r="B109" s="1" t="n">
        <v>45232</v>
      </c>
      <c r="C109" s="1" t="n">
        <v>45687</v>
      </c>
      <c r="D109" t="inlineStr">
        <is>
          <t>STOCKHOLMS LÄN</t>
        </is>
      </c>
      <c r="E109" t="inlineStr">
        <is>
          <t>UPPLANDS-BRO</t>
        </is>
      </c>
      <c r="F109" t="inlineStr">
        <is>
          <t>Övriga statliga verk och myndigheter</t>
        </is>
      </c>
      <c r="G109" t="n">
        <v>38.9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64107-2023</t>
        </is>
      </c>
      <c r="B110" s="1" t="n">
        <v>45279</v>
      </c>
      <c r="C110" s="1" t="n">
        <v>45687</v>
      </c>
      <c r="D110" t="inlineStr">
        <is>
          <t>STOCKHOLMS LÄN</t>
        </is>
      </c>
      <c r="E110" t="inlineStr">
        <is>
          <t>UPPLANDS-BRO</t>
        </is>
      </c>
      <c r="G110" t="n">
        <v>0.3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64105-2023</t>
        </is>
      </c>
      <c r="B111" s="1" t="n">
        <v>45279</v>
      </c>
      <c r="C111" s="1" t="n">
        <v>45687</v>
      </c>
      <c r="D111" t="inlineStr">
        <is>
          <t>STOCKHOLMS LÄN</t>
        </is>
      </c>
      <c r="E111" t="inlineStr">
        <is>
          <t>UPPLANDS-BRO</t>
        </is>
      </c>
      <c r="G111" t="n">
        <v>2.2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64113-2023</t>
        </is>
      </c>
      <c r="B112" s="1" t="n">
        <v>45279</v>
      </c>
      <c r="C112" s="1" t="n">
        <v>45687</v>
      </c>
      <c r="D112" t="inlineStr">
        <is>
          <t>STOCKHOLMS LÄN</t>
        </is>
      </c>
      <c r="E112" t="inlineStr">
        <is>
          <t>UPPLANDS-BRO</t>
        </is>
      </c>
      <c r="G112" t="n">
        <v>2.5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64110-2023</t>
        </is>
      </c>
      <c r="B113" s="1" t="n">
        <v>45279</v>
      </c>
      <c r="C113" s="1" t="n">
        <v>45687</v>
      </c>
      <c r="D113" t="inlineStr">
        <is>
          <t>STOCKHOLMS LÄN</t>
        </is>
      </c>
      <c r="E113" t="inlineStr">
        <is>
          <t>UPPLANDS-BRO</t>
        </is>
      </c>
      <c r="G113" t="n">
        <v>0.4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64114-2023</t>
        </is>
      </c>
      <c r="B114" s="1" t="n">
        <v>45279</v>
      </c>
      <c r="C114" s="1" t="n">
        <v>45687</v>
      </c>
      <c r="D114" t="inlineStr">
        <is>
          <t>STOCKHOLMS LÄN</t>
        </is>
      </c>
      <c r="E114" t="inlineStr">
        <is>
          <t>UPPLANDS-BRO</t>
        </is>
      </c>
      <c r="G114" t="n">
        <v>0.4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2600-2024</t>
        </is>
      </c>
      <c r="B115" s="1" t="n">
        <v>45313</v>
      </c>
      <c r="C115" s="1" t="n">
        <v>45687</v>
      </c>
      <c r="D115" t="inlineStr">
        <is>
          <t>STOCKHOLMS LÄN</t>
        </is>
      </c>
      <c r="E115" t="inlineStr">
        <is>
          <t>UPPLANDS-BRO</t>
        </is>
      </c>
      <c r="G115" t="n">
        <v>4.2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2502-2024</t>
        </is>
      </c>
      <c r="B116" s="1" t="n">
        <v>45313</v>
      </c>
      <c r="C116" s="1" t="n">
        <v>45687</v>
      </c>
      <c r="D116" t="inlineStr">
        <is>
          <t>STOCKHOLMS LÄN</t>
        </is>
      </c>
      <c r="E116" t="inlineStr">
        <is>
          <t>UPPLANDS-BRO</t>
        </is>
      </c>
      <c r="G116" t="n">
        <v>2.7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2602-2024</t>
        </is>
      </c>
      <c r="B117" s="1" t="n">
        <v>45313</v>
      </c>
      <c r="C117" s="1" t="n">
        <v>45687</v>
      </c>
      <c r="D117" t="inlineStr">
        <is>
          <t>STOCKHOLMS LÄN</t>
        </is>
      </c>
      <c r="E117" t="inlineStr">
        <is>
          <t>UPPLANDS-BRO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2594-2024</t>
        </is>
      </c>
      <c r="B118" s="1" t="n">
        <v>45313</v>
      </c>
      <c r="C118" s="1" t="n">
        <v>45687</v>
      </c>
      <c r="D118" t="inlineStr">
        <is>
          <t>STOCKHOLMS LÄN</t>
        </is>
      </c>
      <c r="E118" t="inlineStr">
        <is>
          <t>UPPLANDS-BRO</t>
        </is>
      </c>
      <c r="G118" t="n">
        <v>2.7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4060-2024</t>
        </is>
      </c>
      <c r="B119" s="1" t="n">
        <v>45323</v>
      </c>
      <c r="C119" s="1" t="n">
        <v>45687</v>
      </c>
      <c r="D119" t="inlineStr">
        <is>
          <t>STOCKHOLMS LÄN</t>
        </is>
      </c>
      <c r="E119" t="inlineStr">
        <is>
          <t>UPPLANDS-BRO</t>
        </is>
      </c>
      <c r="F119" t="inlineStr">
        <is>
          <t>Övriga statliga verk och myndigheter</t>
        </is>
      </c>
      <c r="G119" t="n">
        <v>5.3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6256-2024</t>
        </is>
      </c>
      <c r="B120" s="1" t="n">
        <v>45337</v>
      </c>
      <c r="C120" s="1" t="n">
        <v>45687</v>
      </c>
      <c r="D120" t="inlineStr">
        <is>
          <t>STOCKHOLMS LÄN</t>
        </is>
      </c>
      <c r="E120" t="inlineStr">
        <is>
          <t>UPPLANDS-BRO</t>
        </is>
      </c>
      <c r="G120" t="n">
        <v>1.8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6257-2024</t>
        </is>
      </c>
      <c r="B121" s="1" t="n">
        <v>45337</v>
      </c>
      <c r="C121" s="1" t="n">
        <v>45687</v>
      </c>
      <c r="D121" t="inlineStr">
        <is>
          <t>STOCKHOLMS LÄN</t>
        </is>
      </c>
      <c r="E121" t="inlineStr">
        <is>
          <t>UPPLANDS-BRO</t>
        </is>
      </c>
      <c r="G121" t="n">
        <v>2.6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7860-2024</t>
        </is>
      </c>
      <c r="B122" s="1" t="n">
        <v>45348</v>
      </c>
      <c r="C122" s="1" t="n">
        <v>45687</v>
      </c>
      <c r="D122" t="inlineStr">
        <is>
          <t>STOCKHOLMS LÄN</t>
        </is>
      </c>
      <c r="E122" t="inlineStr">
        <is>
          <t>UPPLANDS-BRO</t>
        </is>
      </c>
      <c r="F122" t="inlineStr">
        <is>
          <t>Övriga statliga verk och myndigheter</t>
        </is>
      </c>
      <c r="G122" t="n">
        <v>1.9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14348-2024</t>
        </is>
      </c>
      <c r="B123" s="1" t="n">
        <v>45393</v>
      </c>
      <c r="C123" s="1" t="n">
        <v>45687</v>
      </c>
      <c r="D123" t="inlineStr">
        <is>
          <t>STOCKHOLMS LÄN</t>
        </is>
      </c>
      <c r="E123" t="inlineStr">
        <is>
          <t>UPPLANDS-BRO</t>
        </is>
      </c>
      <c r="G123" t="n">
        <v>4.8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14352-2024</t>
        </is>
      </c>
      <c r="B124" s="1" t="n">
        <v>45393</v>
      </c>
      <c r="C124" s="1" t="n">
        <v>45687</v>
      </c>
      <c r="D124" t="inlineStr">
        <is>
          <t>STOCKHOLMS LÄN</t>
        </is>
      </c>
      <c r="E124" t="inlineStr">
        <is>
          <t>UPPLANDS-BRO</t>
        </is>
      </c>
      <c r="G124" t="n">
        <v>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14349-2024</t>
        </is>
      </c>
      <c r="B125" s="1" t="n">
        <v>45393</v>
      </c>
      <c r="C125" s="1" t="n">
        <v>45687</v>
      </c>
      <c r="D125" t="inlineStr">
        <is>
          <t>STOCKHOLMS LÄN</t>
        </is>
      </c>
      <c r="E125" t="inlineStr">
        <is>
          <t>UPPLANDS-BRO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14350-2024</t>
        </is>
      </c>
      <c r="B126" s="1" t="n">
        <v>45393</v>
      </c>
      <c r="C126" s="1" t="n">
        <v>45687</v>
      </c>
      <c r="D126" t="inlineStr">
        <is>
          <t>STOCKHOLMS LÄN</t>
        </is>
      </c>
      <c r="E126" t="inlineStr">
        <is>
          <t>UPPLANDS-BRO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14351-2024</t>
        </is>
      </c>
      <c r="B127" s="1" t="n">
        <v>45393</v>
      </c>
      <c r="C127" s="1" t="n">
        <v>45687</v>
      </c>
      <c r="D127" t="inlineStr">
        <is>
          <t>STOCKHOLMS LÄN</t>
        </is>
      </c>
      <c r="E127" t="inlineStr">
        <is>
          <t>UPPLANDS-BRO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23093-2024</t>
        </is>
      </c>
      <c r="B128" s="1" t="n">
        <v>45450</v>
      </c>
      <c r="C128" s="1" t="n">
        <v>45687</v>
      </c>
      <c r="D128" t="inlineStr">
        <is>
          <t>STOCKHOLMS LÄN</t>
        </is>
      </c>
      <c r="E128" t="inlineStr">
        <is>
          <t>UPPLANDS-BRO</t>
        </is>
      </c>
      <c r="F128" t="inlineStr">
        <is>
          <t>Övriga statliga verk och myndigheter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23098-2024</t>
        </is>
      </c>
      <c r="B129" s="1" t="n">
        <v>45450</v>
      </c>
      <c r="C129" s="1" t="n">
        <v>45687</v>
      </c>
      <c r="D129" t="inlineStr">
        <is>
          <t>STOCKHOLMS LÄN</t>
        </is>
      </c>
      <c r="E129" t="inlineStr">
        <is>
          <t>UPPLANDS-BRO</t>
        </is>
      </c>
      <c r="F129" t="inlineStr">
        <is>
          <t>Övriga statliga verk och myndigheter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25658-2024</t>
        </is>
      </c>
      <c r="B130" s="1" t="n">
        <v>45463</v>
      </c>
      <c r="C130" s="1" t="n">
        <v>45687</v>
      </c>
      <c r="D130" t="inlineStr">
        <is>
          <t>STOCKHOLMS LÄN</t>
        </is>
      </c>
      <c r="E130" t="inlineStr">
        <is>
          <t>UPPLANDS-BRO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35123-2024</t>
        </is>
      </c>
      <c r="B131" s="1" t="n">
        <v>45530</v>
      </c>
      <c r="C131" s="1" t="n">
        <v>45687</v>
      </c>
      <c r="D131" t="inlineStr">
        <is>
          <t>STOCKHOLMS LÄN</t>
        </is>
      </c>
      <c r="E131" t="inlineStr">
        <is>
          <t>UPPLANDS-BRO</t>
        </is>
      </c>
      <c r="F131" t="inlineStr">
        <is>
          <t>Övriga statliga verk och myndigheter</t>
        </is>
      </c>
      <c r="G131" t="n">
        <v>1.6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37030-2024</t>
        </is>
      </c>
      <c r="B132" s="1" t="n">
        <v>45539</v>
      </c>
      <c r="C132" s="1" t="n">
        <v>45687</v>
      </c>
      <c r="D132" t="inlineStr">
        <is>
          <t>STOCKHOLMS LÄN</t>
        </is>
      </c>
      <c r="E132" t="inlineStr">
        <is>
          <t>UPPLANDS-BRO</t>
        </is>
      </c>
      <c r="F132" t="inlineStr">
        <is>
          <t>Övriga statliga verk och myndigheter</t>
        </is>
      </c>
      <c r="G132" t="n">
        <v>1.8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37037-2024</t>
        </is>
      </c>
      <c r="B133" s="1" t="n">
        <v>45539</v>
      </c>
      <c r="C133" s="1" t="n">
        <v>45687</v>
      </c>
      <c r="D133" t="inlineStr">
        <is>
          <t>STOCKHOLMS LÄN</t>
        </is>
      </c>
      <c r="E133" t="inlineStr">
        <is>
          <t>UPPLANDS-BRO</t>
        </is>
      </c>
      <c r="F133" t="inlineStr">
        <is>
          <t>Övriga statliga verk och myndigheter</t>
        </is>
      </c>
      <c r="G133" t="n">
        <v>5.3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38905-2024</t>
        </is>
      </c>
      <c r="B134" s="1" t="n">
        <v>45547</v>
      </c>
      <c r="C134" s="1" t="n">
        <v>45687</v>
      </c>
      <c r="D134" t="inlineStr">
        <is>
          <t>STOCKHOLMS LÄN</t>
        </is>
      </c>
      <c r="E134" t="inlineStr">
        <is>
          <t>UPPLANDS-BRO</t>
        </is>
      </c>
      <c r="F134" t="inlineStr">
        <is>
          <t>Övriga statliga verk och myndigheter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38902-2024</t>
        </is>
      </c>
      <c r="B135" s="1" t="n">
        <v>45547</v>
      </c>
      <c r="C135" s="1" t="n">
        <v>45687</v>
      </c>
      <c r="D135" t="inlineStr">
        <is>
          <t>STOCKHOLMS LÄN</t>
        </is>
      </c>
      <c r="E135" t="inlineStr">
        <is>
          <t>UPPLANDS-BRO</t>
        </is>
      </c>
      <c r="F135" t="inlineStr">
        <is>
          <t>Övriga statliga verk och myndigheter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52700-2024</t>
        </is>
      </c>
      <c r="B136" s="1" t="n">
        <v>45610</v>
      </c>
      <c r="C136" s="1" t="n">
        <v>45687</v>
      </c>
      <c r="D136" t="inlineStr">
        <is>
          <t>STOCKHOLMS LÄN</t>
        </is>
      </c>
      <c r="E136" t="inlineStr">
        <is>
          <t>UPPLANDS-BRO</t>
        </is>
      </c>
      <c r="G136" t="n">
        <v>2.8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59377-2024</t>
        </is>
      </c>
      <c r="B137" s="1" t="n">
        <v>45638</v>
      </c>
      <c r="C137" s="1" t="n">
        <v>45687</v>
      </c>
      <c r="D137" t="inlineStr">
        <is>
          <t>STOCKHOLMS LÄN</t>
        </is>
      </c>
      <c r="E137" t="inlineStr">
        <is>
          <t>UPPLANDS-BRO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>
      <c r="A138" t="inlineStr">
        <is>
          <t>A 2062-2025</t>
        </is>
      </c>
      <c r="B138" s="1" t="n">
        <v>45671</v>
      </c>
      <c r="C138" s="1" t="n">
        <v>45687</v>
      </c>
      <c r="D138" t="inlineStr">
        <is>
          <t>STOCKHOLMS LÄN</t>
        </is>
      </c>
      <c r="E138" t="inlineStr">
        <is>
          <t>UPPLANDS-BRO</t>
        </is>
      </c>
      <c r="G138" t="n">
        <v>1.9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2025-01-30T15:57:04Z</dcterms:created>
  <dcterms:modified xmlns:dcterms="http://purl.org/dc/terms/" xmlns:xsi="http://www.w3.org/2001/XMLSchema-instance" xsi:type="dcterms:W3CDTF">2025-01-30T15:57:04Z</dcterms:modified>
</cp:coreProperties>
</file>