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46225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46225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46225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46225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46225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46225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46225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46225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46225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46225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46225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2409-2026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46225</v>
      </c>
      <c r="F13" t="inlineStr">
        <is>
          <t>STOCKHOLMS LÄN</t>
        </is>
      </c>
      <c r="G13" t="inlineStr">
        <is>
          <t>UPPLANDS-BRO</t>
        </is>
      </c>
      <c r="I13" t="n">
        <v>14.2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Havsörn</t>
        </is>
      </c>
      <c r="W13">
        <f>HYPERLINK("https://klasma.github.io/Logging_0139/artfynd/A 2409-2026 artfynd.xlsx", "A 2409-2026")</f>
        <v/>
      </c>
      <c r="X13">
        <f>HYPERLINK("https://klasma.github.io/Logging_0139/kartor/A 2409-2026 karta.png", "A 2409-2026")</f>
        <v/>
      </c>
      <c r="Y13">
        <f>HYPERLINK("https://klasma.github.io/Logging_0139/kartor_geotiff/A 2409-2026 georefererad karta.tif", "A 2409-2026")</f>
        <v/>
      </c>
      <c r="AA13">
        <f>HYPERLINK("https://klasma.github.io/Logging_0139/klagomål/A 2409-2026 FSC-klagomål.docx", "A 2409-2026")</f>
        <v/>
      </c>
      <c r="AB13">
        <f>HYPERLINK("https://klasma.github.io/Logging_0139/klagomålsmail/A 2409-2026 FSC-klagomål mail.docx", "A 2409-2026")</f>
        <v/>
      </c>
      <c r="AC13">
        <f>HYPERLINK("https://klasma.github.io/Logging_0139/tillsyn/A 2409-2026 tillsynsbegäran.docx", "A 2409-2026")</f>
        <v/>
      </c>
      <c r="AD13">
        <f>HYPERLINK("https://klasma.github.io/Logging_0139/tillsynsmail/A 2409-2026 tillsynsbegäran mail.docx", "A 2409-2026")</f>
        <v/>
      </c>
      <c r="AE13">
        <f>HYPERLINK("https://klasma.github.io/Logging_0139/fåglar/A 2409-2026 prioriterade fågelarter.docx", "A 2409-2026")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46225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46225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46225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26623-2026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46225</v>
      </c>
      <c r="F17" t="inlineStr">
        <is>
          <t>STOCKHOLMS LÄN</t>
        </is>
      </c>
      <c r="G17" t="inlineStr">
        <is>
          <t>UPPLANDS-BRO</t>
        </is>
      </c>
      <c r="I17" t="n">
        <v>4.6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Svartöra</t>
        </is>
      </c>
      <c r="W17">
        <f>HYPERLINK("https://klasma.github.io/Logging_0139/artfynd/A 26623-2026 artfynd.xlsx", "A 26623-2026")</f>
        <v/>
      </c>
      <c r="X17">
        <f>HYPERLINK("https://klasma.github.io/Logging_0139/kartor/A 26623-2026 karta.png", "A 26623-2026")</f>
        <v/>
      </c>
      <c r="Y17">
        <f>HYPERLINK("https://klasma.github.io/Logging_0139/kartor_geotiff/A 26623-2026 georefererad karta.tif", "A 26623-2026")</f>
        <v/>
      </c>
      <c r="AA17">
        <f>HYPERLINK("https://klasma.github.io/Logging_0139/klagomål/A 26623-2026 FSC-klagomål.docx", "A 26623-2026")</f>
        <v/>
      </c>
      <c r="AB17">
        <f>HYPERLINK("https://klasma.github.io/Logging_0139/klagomålsmail/A 26623-2026 FSC-klagomål mail.docx", "A 26623-2026")</f>
        <v/>
      </c>
      <c r="AC17">
        <f>HYPERLINK("https://klasma.github.io/Logging_0139/tillsyn/A 26623-2026 tillsynsbegäran.docx", "A 26623-2026")</f>
        <v/>
      </c>
      <c r="AD17">
        <f>HYPERLINK("https://klasma.github.io/Logging_0139/tillsynsmail/A 26623-2026 tillsynsbegäran mail.docx", "A 26623-2026")</f>
        <v/>
      </c>
    </row>
    <row r="18" ht="15" customHeight="1">
      <c r="A18" t="inlineStr">
        <is>
          <t>A 26637-2026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46225</v>
      </c>
      <c r="F18" t="inlineStr">
        <is>
          <t>STOCKHOLMS LÄN</t>
        </is>
      </c>
      <c r="G18" t="inlineStr">
        <is>
          <t>UPPLANDS-BRO</t>
        </is>
      </c>
      <c r="I18" t="n">
        <v>5.4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HYPERLINK("https://klasma.github.io/Logging_0139/artfynd/A 26637-2026 artfynd.xlsx", "A 26637-2026")</f>
        <v/>
      </c>
      <c r="X18">
        <f>HYPERLINK("https://klasma.github.io/Logging_0139/kartor/A 26637-2026 karta.png", "A 26637-2026")</f>
        <v/>
      </c>
      <c r="Y18">
        <f>HYPERLINK("https://klasma.github.io/Logging_0139/kartor_geotiff/A 26637-2026 georefererad karta.tif", "A 26637-2026")</f>
        <v/>
      </c>
      <c r="AA18">
        <f>HYPERLINK("https://klasma.github.io/Logging_0139/klagomål/A 26637-2026 FSC-klagomål.docx", "A 26637-2026")</f>
        <v/>
      </c>
      <c r="AB18">
        <f>HYPERLINK("https://klasma.github.io/Logging_0139/klagomålsmail/A 26637-2026 FSC-klagomål mail.docx", "A 26637-2026")</f>
        <v/>
      </c>
      <c r="AC18">
        <f>HYPERLINK("https://klasma.github.io/Logging_0139/tillsyn/A 26637-2026 tillsynsbegäran.docx", "A 26637-2026")</f>
        <v/>
      </c>
      <c r="AD18">
        <f>HYPERLINK("https://klasma.github.io/Logging_0139/tillsynsmail/A 26637-2026 tillsynsbegäran mail.docx", "A 26637-2026")</f>
        <v/>
      </c>
    </row>
    <row r="19" ht="15" customHeight="1">
      <c r="A19" t="inlineStr">
        <is>
          <t>A 23099-2024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46225</v>
      </c>
      <c r="F19" t="inlineStr">
        <is>
          <t>STOCKHOLMS LÄN</t>
        </is>
      </c>
      <c r="G19" t="inlineStr">
        <is>
          <t>UPPLANDS-BRO</t>
        </is>
      </c>
      <c r="H19" t="inlineStr">
        <is>
          <t>Övriga statliga verk och myndigheter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Bredbrämad bastardsvärmare</t>
        </is>
      </c>
      <c r="W19">
        <f>HYPERLINK("https://klasma.github.io/Logging_0139/artfynd/A 23099-2024 artfynd.xlsx", "A 23099-2024")</f>
        <v/>
      </c>
      <c r="X19">
        <f>HYPERLINK("https://klasma.github.io/Logging_0139/kartor/A 23099-2024 karta.png", "A 23099-2024")</f>
        <v/>
      </c>
      <c r="Y19">
        <f>HYPERLINK("https://klasma.github.io/Logging_0139/kartor_geotiff/A 23099-2024 georefererad karta.tif", "A 23099-2024")</f>
        <v/>
      </c>
      <c r="AA19">
        <f>HYPERLINK("https://klasma.github.io/Logging_0139/klagomål/A 23099-2024 FSC-klagomål.docx", "A 23099-2024")</f>
        <v/>
      </c>
      <c r="AB19">
        <f>HYPERLINK("https://klasma.github.io/Logging_0139/klagomålsmail/A 23099-2024 FSC-klagomål mail.docx", "A 23099-2024")</f>
        <v/>
      </c>
      <c r="AC19">
        <f>HYPERLINK("https://klasma.github.io/Logging_0139/tillsyn/A 23099-2024 tillsynsbegäran.docx", "A 23099-2024")</f>
        <v/>
      </c>
      <c r="AD19">
        <f>HYPERLINK("https://klasma.github.io/Logging_0139/tillsynsmail/A 23099-2024 tillsynsbegäran mail.docx", "A 23099-2024")</f>
        <v/>
      </c>
    </row>
    <row r="20" ht="15" customHeight="1">
      <c r="A20" t="inlineStr">
        <is>
          <t>A 64098-2023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45279</v>
      </c>
      <c r="E20" s="1" t="n">
        <v>46225</v>
      </c>
      <c r="F20" t="inlineStr">
        <is>
          <t>STOCKHOLMS LÄN</t>
        </is>
      </c>
      <c r="G20" t="inlineStr">
        <is>
          <t>UPPLANDS-BRO</t>
        </is>
      </c>
      <c r="I20" t="n">
        <v>0.3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Skogsalmsdvärgmal</t>
        </is>
      </c>
      <c r="W20">
        <f>HYPERLINK("https://klasma.github.io/Logging_0139/artfynd/A 64098-2023 artfynd.xlsx", "A 64098-2023")</f>
        <v/>
      </c>
      <c r="X20">
        <f>HYPERLINK("https://klasma.github.io/Logging_0139/kartor/A 64098-2023 karta.png", "A 64098-2023")</f>
        <v/>
      </c>
      <c r="Y20">
        <f>HYPERLINK("https://klasma.github.io/Logging_0139/kartor_geotiff/A 64098-2023 georefererad karta.tif", "A 64098-2023")</f>
        <v/>
      </c>
      <c r="AA20">
        <f>HYPERLINK("https://klasma.github.io/Logging_0139/klagomål/A 64098-2023 FSC-klagomål.docx", "A 64098-2023")</f>
        <v/>
      </c>
      <c r="AB20">
        <f>HYPERLINK("https://klasma.github.io/Logging_0139/klagomålsmail/A 64098-2023 FSC-klagomål mail.docx", "A 64098-2023")</f>
        <v/>
      </c>
      <c r="AC20">
        <f>HYPERLINK("https://klasma.github.io/Logging_0139/tillsyn/A 64098-2023 tillsynsbegäran.docx", "A 64098-2023")</f>
        <v/>
      </c>
      <c r="AD20">
        <f>HYPERLINK("https://klasma.github.io/Logging_0139/tillsynsmail/A 64098-2023 tillsynsbegäran mail.docx", "A 64098-2023")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46225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46225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46225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46225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46225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46225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46225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46225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46225</v>
      </c>
      <c r="F29" t="inlineStr">
        <is>
          <t>STOCKHOLMS LÄN</t>
        </is>
      </c>
      <c r="G29" t="inlineStr">
        <is>
          <t>UPPLANDS-BRO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46225</v>
      </c>
      <c r="F30" t="inlineStr">
        <is>
          <t>STOCKHOLMS LÄN</t>
        </is>
      </c>
      <c r="G30" t="inlineStr">
        <is>
          <t>UPPLANDS-BRO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46225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46225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46225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40514-2021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46225</v>
      </c>
      <c r="F34" t="inlineStr">
        <is>
          <t>STOCKHOLMS LÄN</t>
        </is>
      </c>
      <c r="G34" t="inlineStr">
        <is>
          <t>UPPLANDS-BRO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46031</v>
      </c>
      <c r="E35" s="1" t="n">
        <v>46225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46225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46225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9655-2026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46225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46225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18787-2026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46225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18813-2026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46225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56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46225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17.8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46225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50294-2023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46225</v>
      </c>
      <c r="F44" t="inlineStr">
        <is>
          <t>STOCKHOLMS LÄN</t>
        </is>
      </c>
      <c r="G44" t="inlineStr">
        <is>
          <t>UPPLANDS-BRO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46042</v>
      </c>
      <c r="E45" s="1" t="n">
        <v>46225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26625-2026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46225</v>
      </c>
      <c r="F46" t="inlineStr">
        <is>
          <t>STOCKHOLMS LÄN</t>
        </is>
      </c>
      <c r="G46" t="inlineStr">
        <is>
          <t>UPPLANDS-BRO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26633-2026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46225</v>
      </c>
      <c r="F47" t="inlineStr">
        <is>
          <t>STOCKHOLMS LÄN</t>
        </is>
      </c>
      <c r="G47" t="inlineStr">
        <is>
          <t>UPPLANDS-BRO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26629-2026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46225</v>
      </c>
      <c r="F48" t="inlineStr">
        <is>
          <t>STOCKHOLMS LÄN</t>
        </is>
      </c>
      <c r="G48" t="inlineStr">
        <is>
          <t>UPPLANDS-BRO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46146</v>
      </c>
      <c r="E49" s="1" t="n">
        <v>46225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46225</v>
      </c>
      <c r="F50" t="inlineStr">
        <is>
          <t>STOCKHOLMS LÄN</t>
        </is>
      </c>
      <c r="G50" t="inlineStr">
        <is>
          <t>UPPLANDS-BRO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46225</v>
      </c>
      <c r="F51" t="inlineStr">
        <is>
          <t>STOCKHOLMS LÄN</t>
        </is>
      </c>
      <c r="G51" t="inlineStr">
        <is>
          <t>UPPLANDS-BRO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28740-2026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46225</v>
      </c>
      <c r="F52" t="inlineStr">
        <is>
          <t>STOCKHOLMS LÄN</t>
        </is>
      </c>
      <c r="G52" t="inlineStr">
        <is>
          <t>UPPLANDS-BRO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46225</v>
      </c>
      <c r="F53" t="inlineStr">
        <is>
          <t>STOCKHOLMS LÄN</t>
        </is>
      </c>
      <c r="G53" t="inlineStr">
        <is>
          <t>UPPLANDS-BRO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45450</v>
      </c>
      <c r="E54" s="1" t="n">
        <v>46225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46225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54222-2023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46225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46170</v>
      </c>
      <c r="E57" s="1" t="n">
        <v>46225</v>
      </c>
      <c r="F57" t="inlineStr">
        <is>
          <t>STOCKHOLMS LÄN</t>
        </is>
      </c>
      <c r="G57" t="inlineStr">
        <is>
          <t>UPPLANDS-BRO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58598-2025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45986</v>
      </c>
      <c r="E58" s="1" t="n">
        <v>46225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46225</v>
      </c>
      <c r="F59" t="inlineStr">
        <is>
          <t>STOCKHOLMS LÄN</t>
        </is>
      </c>
      <c r="G59" t="inlineStr">
        <is>
          <t>UPPLANDS-BRO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46225</v>
      </c>
      <c r="F60" t="inlineStr">
        <is>
          <t>STOCKHOLMS LÄN</t>
        </is>
      </c>
      <c r="G60" t="inlineStr">
        <is>
          <t>UPPLANDS-BRO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58011-2021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46225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9.199999999999999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46225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46225</v>
      </c>
      <c r="F63" t="inlineStr">
        <is>
          <t>STOCKHOLMS LÄN</t>
        </is>
      </c>
      <c r="G63" t="inlineStr">
        <is>
          <t>UPPLANDS-BRO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46225</v>
      </c>
      <c r="F64" t="inlineStr">
        <is>
          <t>STOCKHOLMS LÄN</t>
        </is>
      </c>
      <c r="G64" t="inlineStr">
        <is>
          <t>UPPLANDS-BRO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45450</v>
      </c>
      <c r="E65" s="1" t="n">
        <v>46225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46225</v>
      </c>
      <c r="F66" t="inlineStr">
        <is>
          <t>STOCKHOLMS LÄN</t>
        </is>
      </c>
      <c r="G66" t="inlineStr">
        <is>
          <t>UPPLANDS-BRO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46225</v>
      </c>
      <c r="F67" t="inlineStr">
        <is>
          <t>STOCKHOLMS LÄN</t>
        </is>
      </c>
      <c r="G67" t="inlineStr">
        <is>
          <t>UPPLANDS-BRO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46225</v>
      </c>
      <c r="F68" t="inlineStr">
        <is>
          <t>STOCKHOLMS LÄN</t>
        </is>
      </c>
      <c r="G68" t="inlineStr">
        <is>
          <t>UPPLANDS-BRO</t>
        </is>
      </c>
      <c r="H68" t="inlineStr">
        <is>
          <t>Allmännings- och besparingsskogar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44901</v>
      </c>
      <c r="E69" s="1" t="n">
        <v>46225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49622-2021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44455</v>
      </c>
      <c r="E70" s="1" t="n">
        <v>46225</v>
      </c>
      <c r="F70" t="inlineStr">
        <is>
          <t>STOCKHOLMS LÄN</t>
        </is>
      </c>
      <c r="G70" t="inlineStr">
        <is>
          <t>UPPLANDS-BRO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46225</v>
      </c>
      <c r="F71" t="inlineStr">
        <is>
          <t>STOCKHOLMS LÄN</t>
        </is>
      </c>
      <c r="G71" t="inlineStr">
        <is>
          <t>UPPLANDS-BRO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46225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45313</v>
      </c>
      <c r="E73" s="1" t="n">
        <v>46225</v>
      </c>
      <c r="F73" t="inlineStr">
        <is>
          <t>STOCKHOLMS LÄN</t>
        </is>
      </c>
      <c r="G73" t="inlineStr">
        <is>
          <t>UPPLANDS-BRO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44906</v>
      </c>
      <c r="E74" s="1" t="n">
        <v>46225</v>
      </c>
      <c r="F74" t="inlineStr">
        <is>
          <t>STOCKHOLMS LÄN</t>
        </is>
      </c>
      <c r="G74" t="inlineStr">
        <is>
          <t>UPPLANDS-BRO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44950</v>
      </c>
      <c r="E75" s="1" t="n">
        <v>46225</v>
      </c>
      <c r="F75" t="inlineStr">
        <is>
          <t>STOCKHOLMS LÄN</t>
        </is>
      </c>
      <c r="G75" t="inlineStr">
        <is>
          <t>UPPLANDS-BRO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7860-2024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46225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64105-2023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46225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64114-2023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46225</v>
      </c>
      <c r="F78" t="inlineStr">
        <is>
          <t>STOCKHOLMS LÄN</t>
        </is>
      </c>
      <c r="G78" t="inlineStr">
        <is>
          <t>UPPLANDS-BRO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45701</v>
      </c>
      <c r="E79" s="1" t="n">
        <v>46225</v>
      </c>
      <c r="F79" t="inlineStr">
        <is>
          <t>STOCKHOLMS LÄN</t>
        </is>
      </c>
      <c r="G79" t="inlineStr">
        <is>
          <t>UPPLANDS-BRO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46225</v>
      </c>
      <c r="F80" t="inlineStr">
        <is>
          <t>STOCKHOLMS LÄN</t>
        </is>
      </c>
      <c r="G80" t="inlineStr">
        <is>
          <t>UPPLANDS-BRO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46225</v>
      </c>
      <c r="F81" t="inlineStr">
        <is>
          <t>STOCKHOLMS LÄN</t>
        </is>
      </c>
      <c r="G81" t="inlineStr">
        <is>
          <t>UPPLANDS-BRO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10447-2021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44558</v>
      </c>
      <c r="E82" s="1" t="n">
        <v>46225</v>
      </c>
      <c r="F82" t="inlineStr">
        <is>
          <t>STOCKHOLMS LÄN</t>
        </is>
      </c>
      <c r="G82" t="inlineStr">
        <is>
          <t>UPPLANDS-BRO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2026-07-22T01:34:28Z</dcterms:created>
  <dcterms:modified xmlns:dcterms="http://purl.org/dc/terms/" xmlns:xsi="http://www.w3.org/2001/XMLSchema-instance" xsi:type="dcterms:W3CDTF">2026-07-22T01:34:29Z</dcterms:modified>
</cp:coreProperties>
</file>