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46173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46173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18772-2026</t>
        </is>
      </c>
      <c r="B8" s="1" t="n">
        <v>46128</v>
      </c>
      <c r="C8" s="1" t="n">
        <v>46173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19.5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Svedjenäva
Fläcknycklar</t>
        </is>
      </c>
      <c r="S8">
        <f>HYPERLINK("https://klasma.github.io/Logging_0139/artfynd/A 18772-2026 artfynd.xlsx", "A 18772-2026")</f>
        <v/>
      </c>
      <c r="T8">
        <f>HYPERLINK("https://klasma.github.io/Logging_0139/kartor/A 18772-2026 karta.png", "A 18772-2026")</f>
        <v/>
      </c>
      <c r="V8">
        <f>HYPERLINK("https://klasma.github.io/Logging_0139/klagomål/A 18772-2026 FSC-klagomål.docx", "A 18772-2026")</f>
        <v/>
      </c>
      <c r="W8">
        <f>HYPERLINK("https://klasma.github.io/Logging_0139/klagomålsmail/A 18772-2026 FSC-klagomål mail.docx", "A 18772-2026")</f>
        <v/>
      </c>
      <c r="X8">
        <f>HYPERLINK("https://klasma.github.io/Logging_0139/tillsyn/A 18772-2026 tillsynsbegäran.docx", "A 18772-2026")</f>
        <v/>
      </c>
      <c r="Y8">
        <f>HYPERLINK("https://klasma.github.io/Logging_0139/tillsynsmail/A 18772-2026 tillsynsbegäran mail.docx", "A 18772-2026")</f>
        <v/>
      </c>
    </row>
    <row r="9" ht="15" customHeight="1">
      <c r="A9" t="inlineStr">
        <is>
          <t>A 18790-2026</t>
        </is>
      </c>
      <c r="B9" s="1" t="n">
        <v>46128</v>
      </c>
      <c r="C9" s="1" t="n">
        <v>46173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5.5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HYPERLINK("https://klasma.github.io/Logging_0139/artfynd/A 18790-2026 artfynd.xlsx", "A 18790-2026")</f>
        <v/>
      </c>
      <c r="T9">
        <f>HYPERLINK("https://klasma.github.io/Logging_0139/kartor/A 18790-2026 karta.png", "A 18790-2026")</f>
        <v/>
      </c>
      <c r="V9">
        <f>HYPERLINK("https://klasma.github.io/Logging_0139/klagomål/A 18790-2026 FSC-klagomål.docx", "A 18790-2026")</f>
        <v/>
      </c>
      <c r="W9">
        <f>HYPERLINK("https://klasma.github.io/Logging_0139/klagomålsmail/A 18790-2026 FSC-klagomål mail.docx", "A 18790-2026")</f>
        <v/>
      </c>
      <c r="X9">
        <f>HYPERLINK("https://klasma.github.io/Logging_0139/tillsyn/A 18790-2026 tillsynsbegäran.docx", "A 18790-2026")</f>
        <v/>
      </c>
      <c r="Y9">
        <f>HYPERLINK("https://klasma.github.io/Logging_0139/tillsynsmail/A 18790-2026 tillsynsbegäran mail.docx", "A 18790-2026")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46173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46173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46173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46173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46173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46173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46173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2409-2026</t>
        </is>
      </c>
      <c r="B19" s="1" t="n">
        <v>46034</v>
      </c>
      <c r="C19" s="1" t="n">
        <v>46173</v>
      </c>
      <c r="D19" t="inlineStr">
        <is>
          <t>STOCKHOLMS LÄN</t>
        </is>
      </c>
      <c r="E19" t="inlineStr">
        <is>
          <t>UPPLANDS-BRO</t>
        </is>
      </c>
      <c r="G19" t="n">
        <v>14.2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HYPERLINK("https://klasma.github.io/Logging_0139/artfynd/A 2409-2026 artfynd.xlsx", "A 2409-2026")</f>
        <v/>
      </c>
      <c r="T19">
        <f>HYPERLINK("https://klasma.github.io/Logging_0139/kartor/A 2409-2026 karta.png", "A 2409-2026")</f>
        <v/>
      </c>
      <c r="V19">
        <f>HYPERLINK("https://klasma.github.io/Logging_0139/klagomål/A 2409-2026 FSC-klagomål.docx", "A 2409-2026")</f>
        <v/>
      </c>
      <c r="W19">
        <f>HYPERLINK("https://klasma.github.io/Logging_0139/klagomålsmail/A 2409-2026 FSC-klagomål mail.docx", "A 2409-2026")</f>
        <v/>
      </c>
      <c r="X19">
        <f>HYPERLINK("https://klasma.github.io/Logging_0139/tillsyn/A 2409-2026 tillsynsbegäran.docx", "A 2409-2026")</f>
        <v/>
      </c>
      <c r="Y19">
        <f>HYPERLINK("https://klasma.github.io/Logging_0139/tillsynsmail/A 2409-2026 tillsynsbegäran mail.docx", "A 2409-2026")</f>
        <v/>
      </c>
      <c r="Z19">
        <f>HYPERLINK("https://klasma.github.io/Logging_0139/fåglar/A 2409-2026 prioriterade fågelarter.docx", "A 2409-2026")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46173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46173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46173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46173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46173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46173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46173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46173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46173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46173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46173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46173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3630-2023</t>
        </is>
      </c>
      <c r="B35" s="1" t="n">
        <v>44950</v>
      </c>
      <c r="C35" s="1" t="n">
        <v>46173</v>
      </c>
      <c r="D35" t="inlineStr">
        <is>
          <t>STOCKHOLMS LÄN</t>
        </is>
      </c>
      <c r="E35" t="inlineStr">
        <is>
          <t>UPPLANDS-BRO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10935-2025</t>
        </is>
      </c>
      <c r="B36" s="1" t="n">
        <v>45722</v>
      </c>
      <c r="C36" s="1" t="n">
        <v>46173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46173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46173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5264-2023</t>
        </is>
      </c>
      <c r="B39" s="1" t="n">
        <v>44959</v>
      </c>
      <c r="C39" s="1" t="n">
        <v>46173</v>
      </c>
      <c r="D39" t="inlineStr">
        <is>
          <t>STOCKHOLMS LÄN</t>
        </is>
      </c>
      <c r="E39" t="inlineStr">
        <is>
          <t>UPPLANDS-BRO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59844-2022</t>
        </is>
      </c>
      <c r="B40" s="1" t="n">
        <v>44901</v>
      </c>
      <c r="C40" s="1" t="n">
        <v>46173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46173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7860-2024</t>
        </is>
      </c>
      <c r="B42" s="1" t="n">
        <v>45348</v>
      </c>
      <c r="C42" s="1" t="n">
        <v>46173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51587-2023</t>
        </is>
      </c>
      <c r="B43" s="1" t="n">
        <v>45215</v>
      </c>
      <c r="C43" s="1" t="n">
        <v>46173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46173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46173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72524-2021</t>
        </is>
      </c>
      <c r="B46" s="1" t="n">
        <v>44546</v>
      </c>
      <c r="C46" s="1" t="n">
        <v>46173</v>
      </c>
      <c r="D46" t="inlineStr">
        <is>
          <t>STOCKHOLMS LÄN</t>
        </is>
      </c>
      <c r="E46" t="inlineStr">
        <is>
          <t>UPPLANDS-BRO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64107-2023</t>
        </is>
      </c>
      <c r="B47" s="1" t="n">
        <v>45279</v>
      </c>
      <c r="C47" s="1" t="n">
        <v>46173</v>
      </c>
      <c r="D47" t="inlineStr">
        <is>
          <t>STOCKHOLMS LÄN</t>
        </is>
      </c>
      <c r="E47" t="inlineStr">
        <is>
          <t>UPPLANDS-BRO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4338-2023</t>
        </is>
      </c>
      <c r="B48" s="1" t="n">
        <v>44953</v>
      </c>
      <c r="C48" s="1" t="n">
        <v>46173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27313-2023</t>
        </is>
      </c>
      <c r="B49" s="1" t="n">
        <v>45096</v>
      </c>
      <c r="C49" s="1" t="n">
        <v>46173</v>
      </c>
      <c r="D49" t="inlineStr">
        <is>
          <t>STOCKHOLMS LÄN</t>
        </is>
      </c>
      <c r="E49" t="inlineStr">
        <is>
          <t>UPPLANDS-BRO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46173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59848-2022</t>
        </is>
      </c>
      <c r="B51" s="1" t="n">
        <v>44901</v>
      </c>
      <c r="C51" s="1" t="n">
        <v>46173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12372-2025</t>
        </is>
      </c>
      <c r="B52" s="1" t="n">
        <v>45730.37740740741</v>
      </c>
      <c r="C52" s="1" t="n">
        <v>46173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46173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46173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56756-2021</t>
        </is>
      </c>
      <c r="B55" s="1" t="n">
        <v>44481</v>
      </c>
      <c r="C55" s="1" t="n">
        <v>46173</v>
      </c>
      <c r="D55" t="inlineStr">
        <is>
          <t>STOCKHOLMS LÄN</t>
        </is>
      </c>
      <c r="E55" t="inlineStr">
        <is>
          <t>UPPLANDS-BRO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38902-2024</t>
        </is>
      </c>
      <c r="B56" s="1" t="n">
        <v>45547</v>
      </c>
      <c r="C56" s="1" t="n">
        <v>46173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46173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27805-2021</t>
        </is>
      </c>
      <c r="B58" s="1" t="n">
        <v>44354</v>
      </c>
      <c r="C58" s="1" t="n">
        <v>46173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46173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12363-2025</t>
        </is>
      </c>
      <c r="B60" s="1" t="n">
        <v>45730.37431712963</v>
      </c>
      <c r="C60" s="1" t="n">
        <v>46173</v>
      </c>
      <c r="D60" t="inlineStr">
        <is>
          <t>STOCKHOLMS LÄN</t>
        </is>
      </c>
      <c r="E60" t="inlineStr">
        <is>
          <t>UPPLANDS-BRO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46173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40514-2021</t>
        </is>
      </c>
      <c r="B62" s="1" t="n">
        <v>44420</v>
      </c>
      <c r="C62" s="1" t="n">
        <v>46173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46173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23098-2024</t>
        </is>
      </c>
      <c r="B64" s="1" t="n">
        <v>45450</v>
      </c>
      <c r="C64" s="1" t="n">
        <v>46173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46173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46438-2023</t>
        </is>
      </c>
      <c r="B66" s="1" t="n">
        <v>45197</v>
      </c>
      <c r="C66" s="1" t="n">
        <v>46173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10912-2025</t>
        </is>
      </c>
      <c r="B67" s="1" t="n">
        <v>45722</v>
      </c>
      <c r="C67" s="1" t="n">
        <v>46173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46173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46173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46173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46173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18778-2026</t>
        </is>
      </c>
      <c r="B72" s="1" t="n">
        <v>46128</v>
      </c>
      <c r="C72" s="1" t="n">
        <v>46173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18813-2026</t>
        </is>
      </c>
      <c r="B73" s="1" t="n">
        <v>46128</v>
      </c>
      <c r="C73" s="1" t="n">
        <v>46173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56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18818-2026</t>
        </is>
      </c>
      <c r="B74" s="1" t="n">
        <v>46128</v>
      </c>
      <c r="C74" s="1" t="n">
        <v>46173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18787-2026</t>
        </is>
      </c>
      <c r="B75" s="1" t="n">
        <v>46128</v>
      </c>
      <c r="C75" s="1" t="n">
        <v>46173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24579-2026</t>
        </is>
      </c>
      <c r="B76" s="1" t="n">
        <v>46170.6503125</v>
      </c>
      <c r="C76" s="1" t="n">
        <v>46173</v>
      </c>
      <c r="D76" t="inlineStr">
        <is>
          <t>STOCKHOLMS LÄN</t>
        </is>
      </c>
      <c r="E76" t="inlineStr">
        <is>
          <t>UPPLANDS-BRO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46173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58598-2025</t>
        </is>
      </c>
      <c r="B78" s="1" t="n">
        <v>45986</v>
      </c>
      <c r="C78" s="1" t="n">
        <v>46173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23627-2025</t>
        </is>
      </c>
      <c r="B79" s="1" t="n">
        <v>45792.67523148148</v>
      </c>
      <c r="C79" s="1" t="n">
        <v>46173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3596-2026</t>
        </is>
      </c>
      <c r="B80" s="1" t="n">
        <v>46042</v>
      </c>
      <c r="C80" s="1" t="n">
        <v>46173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2046-2026</t>
        </is>
      </c>
      <c r="B81" s="1" t="n">
        <v>46031</v>
      </c>
      <c r="C81" s="1" t="n">
        <v>46173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3754-2026</t>
        </is>
      </c>
      <c r="B82" s="1" t="n">
        <v>46043</v>
      </c>
      <c r="C82" s="1" t="n">
        <v>46173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9265-2026</t>
        </is>
      </c>
      <c r="B83" s="1" t="n">
        <v>46069</v>
      </c>
      <c r="C83" s="1" t="n">
        <v>46173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9655-2026</t>
        </is>
      </c>
      <c r="B84" s="1" t="n">
        <v>46070</v>
      </c>
      <c r="C84" s="1" t="n">
        <v>46173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21206-2026</t>
        </is>
      </c>
      <c r="B85" s="1" t="n">
        <v>46146</v>
      </c>
      <c r="C85" s="1" t="n">
        <v>46173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21208-2026</t>
        </is>
      </c>
      <c r="B86" s="1" t="n">
        <v>46146</v>
      </c>
      <c r="C86" s="1" t="n">
        <v>46173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2026-05-31T10:53:39Z</dcterms:created>
  <dcterms:modified xmlns:dcterms="http://purl.org/dc/terms/" xmlns:xsi="http://www.w3.org/2001/XMLSchema-instance" xsi:type="dcterms:W3CDTF">2026-05-31T10:53:39Z</dcterms:modified>
</cp:coreProperties>
</file>