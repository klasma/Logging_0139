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mälning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7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0" ht="15" customHeight="1"/>
    <row r="1" ht="15" customHeight="1">
      <c r="A1" t="inlineStr">
        <is>
          <t>Beteckning</t>
        </is>
      </c>
      <c r="B1" t="inlineStr">
        <is>
          <t>Typ</t>
        </is>
      </c>
      <c r="C1" t="inlineStr">
        <is>
          <t>Åtgärd</t>
        </is>
      </c>
      <c r="D1" t="inlineStr">
        <is>
          <t>Datum</t>
        </is>
      </c>
      <c r="E1" t="inlineStr">
        <is>
          <t>Förändrad</t>
        </is>
      </c>
      <c r="F1" t="inlineStr">
        <is>
          <t>Län</t>
        </is>
      </c>
      <c r="G1" t="inlineStr">
        <is>
          <t>Kommun</t>
        </is>
      </c>
      <c r="H1" t="inlineStr">
        <is>
          <t>Markägare</t>
        </is>
      </c>
      <c r="I1" t="inlineStr">
        <is>
          <t>Area (ha)</t>
        </is>
      </c>
      <c r="J1" t="inlineStr">
        <is>
          <t>Fridlysta</t>
        </is>
      </c>
      <c r="K1" t="inlineStr">
        <is>
          <t>Signalarter</t>
        </is>
      </c>
      <c r="L1" t="inlineStr">
        <is>
          <t>NT</t>
        </is>
      </c>
      <c r="M1" t="inlineStr">
        <is>
          <t>VU</t>
        </is>
      </c>
      <c r="N1" t="inlineStr">
        <is>
          <t>EN</t>
        </is>
      </c>
      <c r="O1" t="inlineStr">
        <is>
          <t>CR</t>
        </is>
      </c>
      <c r="P1" t="inlineStr">
        <is>
          <t>RE</t>
        </is>
      </c>
      <c r="Q1" t="inlineStr">
        <is>
          <t>Rödlistade</t>
        </is>
      </c>
      <c r="R1" t="inlineStr">
        <is>
          <t>Hotade</t>
        </is>
      </c>
      <c r="S1" t="inlineStr">
        <is>
          <t>Alla arter</t>
        </is>
      </c>
      <c r="T1" t="inlineStr">
        <is>
          <t>Fynd</t>
        </is>
      </c>
      <c r="U1" t="inlineStr">
        <is>
          <t>Nya fynd</t>
        </is>
      </c>
      <c r="V1" t="inlineStr">
        <is>
          <t>Artnamn</t>
        </is>
      </c>
      <c r="W1" t="inlineStr">
        <is>
          <t>Artfyndslänk</t>
        </is>
      </c>
      <c r="X1" t="inlineStr">
        <is>
          <t>Kartlänk</t>
        </is>
      </c>
      <c r="Y1" t="inlineStr">
        <is>
          <t>Geotifflänk</t>
        </is>
      </c>
      <c r="Z1" t="inlineStr">
        <is>
          <t>Knärotsbuffertlänk</t>
        </is>
      </c>
      <c r="AA1" t="inlineStr">
        <is>
          <t>Klagomålslänk</t>
        </is>
      </c>
      <c r="AB1" t="inlineStr">
        <is>
          <t>Klagomålsmaillänk</t>
        </is>
      </c>
      <c r="AC1" t="inlineStr">
        <is>
          <t>Tillsynsbegäranslänk</t>
        </is>
      </c>
      <c r="AD1" t="inlineStr">
        <is>
          <t>Tillsynsbegäransmaillänk</t>
        </is>
      </c>
      <c r="AE1" t="inlineStr">
        <is>
          <t>Fågeltillsynsbegäranslänk</t>
        </is>
      </c>
    </row>
    <row r="2" ht="15" customHeight="1">
      <c r="A2" t="inlineStr">
        <is>
          <t>A 73783-2021</t>
        </is>
      </c>
      <c r="B2" t="inlineStr">
        <is>
          <t>avverkningsanmälan</t>
        </is>
      </c>
      <c r="C2" t="inlineStr">
        <is>
          <t>Föryngringsavverkning</t>
        </is>
      </c>
      <c r="D2" s="1" t="n">
        <v>44552</v>
      </c>
      <c r="E2" s="1" t="n">
        <v>46322</v>
      </c>
      <c r="F2" t="inlineStr">
        <is>
          <t>STOCKHOLMS LÄN</t>
        </is>
      </c>
      <c r="G2" t="inlineStr">
        <is>
          <t>UPPLANDS-BRO</t>
        </is>
      </c>
      <c r="I2" t="n">
        <v>5.9</v>
      </c>
      <c r="J2" t="n">
        <v>0</v>
      </c>
      <c r="K2" t="n">
        <v>0</v>
      </c>
      <c r="L2" t="n">
        <v>4</v>
      </c>
      <c r="M2" t="n">
        <v>0</v>
      </c>
      <c r="N2" t="n">
        <v>0</v>
      </c>
      <c r="O2" t="n">
        <v>0</v>
      </c>
      <c r="P2" t="n">
        <v>0</v>
      </c>
      <c r="Q2" t="n">
        <v>4</v>
      </c>
      <c r="R2" t="n">
        <v>0</v>
      </c>
      <c r="S2" t="n">
        <v>4</v>
      </c>
      <c r="T2" t="n">
        <v>6</v>
      </c>
      <c r="U2" t="n">
        <v>1</v>
      </c>
      <c r="V2" s="2" t="inlineStr">
        <is>
          <t>Blek fingersvamp
Dofttaggsvamp
Skarp dropptaggsvamp
Svartvit taggsvamp</t>
        </is>
      </c>
      <c r="W2">
        <f>HYPERLINK("https://klasma.github.io/Logging_0139/artfynd/A 73783-2021 artfynd.xlsx", "A 73783-2021")</f>
        <v/>
      </c>
      <c r="X2">
        <f>HYPERLINK("https://klasma.github.io/Logging_0139/kartor/A 73783-2021 karta.png", "A 73783-2021")</f>
        <v/>
      </c>
      <c r="Y2">
        <f>HYPERLINK("https://klasma.github.io/Logging_0139/kartor_geotiff/A 73783-2021 georefererad karta.tif", "A 73783-2021")</f>
        <v/>
      </c>
      <c r="AA2">
        <f>HYPERLINK("https://klasma.github.io/Logging_0139/klagomål/A 73783-2021 FSC-klagomål.docx", "A 73783-2021")</f>
        <v/>
      </c>
      <c r="AB2">
        <f>HYPERLINK("https://klasma.github.io/Logging_0139/klagomålsmail/A 73783-2021 FSC-klagomål mail.docx", "A 73783-2021")</f>
        <v/>
      </c>
      <c r="AC2">
        <f>HYPERLINK("https://klasma.github.io/Logging_0139/tillsyn/A 73783-2021 tillsynsbegäran.docx", "A 73783-2021")</f>
        <v/>
      </c>
      <c r="AD2">
        <f>HYPERLINK("https://klasma.github.io/Logging_0139/tillsynsmail/A 73783-2021 tillsynsbegäran mail.docx", "A 73783-2021")</f>
        <v/>
      </c>
    </row>
    <row r="3" ht="15" customHeight="1">
      <c r="A3" t="inlineStr">
        <is>
          <t>A 73783-2021</t>
        </is>
      </c>
      <c r="B3" t="inlineStr">
        <is>
          <t>avverkningsanmälan</t>
        </is>
      </c>
      <c r="C3" t="inlineStr">
        <is>
          <t>Föryngringsavverkning</t>
        </is>
      </c>
      <c r="D3" s="1" t="n">
        <v>44552</v>
      </c>
      <c r="E3" s="1" t="n">
        <v>46322</v>
      </c>
      <c r="F3" t="inlineStr">
        <is>
          <t>STOCKHOLMS LÄN</t>
        </is>
      </c>
      <c r="G3" t="inlineStr">
        <is>
          <t>UPPLANDS-BRO</t>
        </is>
      </c>
      <c r="I3" t="n">
        <v>5.9</v>
      </c>
      <c r="J3" t="n">
        <v>0</v>
      </c>
      <c r="K3" t="n">
        <v>0</v>
      </c>
      <c r="L3" t="n">
        <v>4</v>
      </c>
      <c r="M3" t="n">
        <v>0</v>
      </c>
      <c r="N3" t="n">
        <v>0</v>
      </c>
      <c r="O3" t="n">
        <v>0</v>
      </c>
      <c r="P3" t="n">
        <v>0</v>
      </c>
      <c r="Q3" t="n">
        <v>4</v>
      </c>
      <c r="R3" t="n">
        <v>0</v>
      </c>
      <c r="S3" t="n">
        <v>4</v>
      </c>
      <c r="T3" t="n">
        <v>6</v>
      </c>
      <c r="U3" t="n">
        <v>1</v>
      </c>
      <c r="V3" s="2" t="inlineStr">
        <is>
          <t>Blek fingersvamp
Dofttaggsvamp
Skarp dropptaggsvamp
Svartvit taggsvamp</t>
        </is>
      </c>
      <c r="W3">
        <f>HYPERLINK("https://klasma.github.io/Logging_0139/artfynd/A 73783-2021 artfynd.xlsx", "A 73783-2021")</f>
        <v/>
      </c>
      <c r="X3">
        <f>HYPERLINK("https://klasma.github.io/Logging_0139/kartor/A 73783-2021 karta.png", "A 73783-2021")</f>
        <v/>
      </c>
      <c r="Y3">
        <f>HYPERLINK("https://klasma.github.io/Logging_0139/kartor_geotiff/A 73783-2021 georefererad karta.tif", "A 73783-2021")</f>
        <v/>
      </c>
      <c r="AA3">
        <f>HYPERLINK("https://klasma.github.io/Logging_0139/klagomål/A 73783-2021 FSC-klagomål.docx", "A 73783-2021")</f>
        <v/>
      </c>
      <c r="AB3">
        <f>HYPERLINK("https://klasma.github.io/Logging_0139/klagomålsmail/A 73783-2021 FSC-klagomål mail.docx", "A 73783-2021")</f>
        <v/>
      </c>
      <c r="AC3">
        <f>HYPERLINK("https://klasma.github.io/Logging_0139/tillsyn/A 73783-2021 tillsynsbegäran.docx", "A 73783-2021")</f>
        <v/>
      </c>
      <c r="AD3">
        <f>HYPERLINK("https://klasma.github.io/Logging_0139/tillsynsmail/A 73783-2021 tillsynsbegäran mail.docx", "A 73783-2021")</f>
        <v/>
      </c>
    </row>
    <row r="4" ht="15" customHeight="1">
      <c r="A4" t="inlineStr">
        <is>
          <t>A 55586-2023</t>
        </is>
      </c>
      <c r="B4" t="inlineStr">
        <is>
          <t>avverkningsanmälan</t>
        </is>
      </c>
      <c r="C4" t="inlineStr">
        <is>
          <t>Föryngringsavverkning</t>
        </is>
      </c>
      <c r="D4" s="1" t="n">
        <v>45232</v>
      </c>
      <c r="E4" s="1" t="n">
        <v>46322</v>
      </c>
      <c r="F4" t="inlineStr">
        <is>
          <t>STOCKHOLMS LÄN</t>
        </is>
      </c>
      <c r="G4" t="inlineStr">
        <is>
          <t>UPPLANDS-BRO</t>
        </is>
      </c>
      <c r="H4" t="inlineStr">
        <is>
          <t>Övriga statliga verk och myndigheter</t>
        </is>
      </c>
      <c r="I4" t="n">
        <v>38.9</v>
      </c>
      <c r="J4" t="n">
        <v>2</v>
      </c>
      <c r="K4" t="n">
        <v>1</v>
      </c>
      <c r="L4" t="n">
        <v>1</v>
      </c>
      <c r="M4" t="n">
        <v>0</v>
      </c>
      <c r="N4" t="n">
        <v>0</v>
      </c>
      <c r="O4" t="n">
        <v>0</v>
      </c>
      <c r="P4" t="n">
        <v>0</v>
      </c>
      <c r="Q4" t="n">
        <v>1</v>
      </c>
      <c r="R4" t="n">
        <v>0</v>
      </c>
      <c r="S4" t="n">
        <v>3</v>
      </c>
      <c r="T4" t="n">
        <v>4</v>
      </c>
      <c r="U4" t="n">
        <v>2</v>
      </c>
      <c r="V4" s="2" t="inlineStr">
        <is>
          <t>Fyrflikig jordstjärna
Nästrot
Blåsippa</t>
        </is>
      </c>
      <c r="W4">
        <f>HYPERLINK("https://klasma.github.io/Logging_0139/artfynd/A 55586-2023 artfynd.xlsx", "A 55586-2023")</f>
        <v/>
      </c>
      <c r="X4">
        <f>HYPERLINK("https://klasma.github.io/Logging_0139/kartor/A 55586-2023 karta.png", "A 55586-2023")</f>
        <v/>
      </c>
      <c r="Y4">
        <f>HYPERLINK("https://klasma.github.io/Logging_0139/kartor_geotiff/A 55586-2023 georefererad karta.tif", "A 55586-2023")</f>
        <v/>
      </c>
      <c r="AA4">
        <f>HYPERLINK("https://klasma.github.io/Logging_0139/klagomål/A 55586-2023 FSC-klagomål.docx", "A 55586-2023")</f>
        <v/>
      </c>
      <c r="AB4">
        <f>HYPERLINK("https://klasma.github.io/Logging_0139/klagomålsmail/A 55586-2023 FSC-klagomål mail.docx", "A 55586-2023")</f>
        <v/>
      </c>
      <c r="AC4">
        <f>HYPERLINK("https://klasma.github.io/Logging_0139/tillsyn/A 55586-2023 tillsynsbegäran.docx", "A 55586-2023")</f>
        <v/>
      </c>
      <c r="AD4">
        <f>HYPERLINK("https://klasma.github.io/Logging_0139/tillsynsmail/A 55586-2023 tillsynsbegäran mail.docx", "A 55586-2023")</f>
        <v/>
      </c>
    </row>
    <row r="5" ht="15" customHeight="1">
      <c r="A5" t="inlineStr">
        <is>
          <t>A 73773-2021</t>
        </is>
      </c>
      <c r="B5" t="inlineStr">
        <is>
          <t>avverkningsanmälan</t>
        </is>
      </c>
      <c r="C5" t="inlineStr">
        <is>
          <t>Föryngringsavverkning</t>
        </is>
      </c>
      <c r="D5" s="1" t="n">
        <v>44552</v>
      </c>
      <c r="E5" s="1" t="n">
        <v>46322</v>
      </c>
      <c r="F5" t="inlineStr">
        <is>
          <t>STOCKHOLMS LÄN</t>
        </is>
      </c>
      <c r="G5" t="inlineStr">
        <is>
          <t>UPPLANDS-BRO</t>
        </is>
      </c>
      <c r="I5" t="n">
        <v>1.9</v>
      </c>
      <c r="J5" t="n">
        <v>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</v>
      </c>
      <c r="T5" t="n">
        <v>3</v>
      </c>
      <c r="U5" t="n">
        <v>3</v>
      </c>
      <c r="V5" s="2" t="inlineStr">
        <is>
          <t>Kopparödla
Gullviva</t>
        </is>
      </c>
      <c r="W5">
        <f>HYPERLINK("https://klasma.github.io/Logging_0139/artfynd/A 73773-2021 artfynd.xlsx", "A 73773-2021")</f>
        <v/>
      </c>
      <c r="X5">
        <f>HYPERLINK("https://klasma.github.io/Logging_0139/kartor/A 73773-2021 karta.png", "A 73773-2021")</f>
        <v/>
      </c>
      <c r="Y5">
        <f>HYPERLINK("https://klasma.github.io/Logging_0139/kartor_geotiff/A 73773-2021 georefererad karta.tif", "A 73773-2021")</f>
        <v/>
      </c>
      <c r="AA5">
        <f>HYPERLINK("https://klasma.github.io/Logging_0139/klagomål/A 73773-2021 FSC-klagomål.docx", "A 73773-2021")</f>
        <v/>
      </c>
      <c r="AB5">
        <f>HYPERLINK("https://klasma.github.io/Logging_0139/klagomålsmail/A 73773-2021 FSC-klagomål mail.docx", "A 73773-2021")</f>
        <v/>
      </c>
      <c r="AC5">
        <f>HYPERLINK("https://klasma.github.io/Logging_0139/tillsyn/A 73773-2021 tillsynsbegäran.docx", "A 73773-2021")</f>
        <v/>
      </c>
      <c r="AD5">
        <f>HYPERLINK("https://klasma.github.io/Logging_0139/tillsynsmail/A 73773-2021 tillsynsbegäran mail.docx", "A 73773-2021")</f>
        <v/>
      </c>
    </row>
    <row r="6" ht="15" customHeight="1">
      <c r="A6" t="inlineStr">
        <is>
          <t>A 18772-2026</t>
        </is>
      </c>
      <c r="B6" t="inlineStr">
        <is>
          <t>avverkningsanmälan</t>
        </is>
      </c>
      <c r="C6" t="inlineStr">
        <is>
          <t>Föryngringsavverkning</t>
        </is>
      </c>
      <c r="D6" s="1" t="n">
        <v>46128</v>
      </c>
      <c r="E6" s="1" t="n">
        <v>46322</v>
      </c>
      <c r="F6" t="inlineStr">
        <is>
          <t>STOCKHOLMS LÄN</t>
        </is>
      </c>
      <c r="G6" t="inlineStr">
        <is>
          <t>UPPLANDS-BRO</t>
        </is>
      </c>
      <c r="H6" t="inlineStr">
        <is>
          <t>Övriga statliga verk och myndigheter</t>
        </is>
      </c>
      <c r="I6" t="n">
        <v>19.5</v>
      </c>
      <c r="J6" t="n">
        <v>1</v>
      </c>
      <c r="K6" t="n">
        <v>0</v>
      </c>
      <c r="L6" t="n">
        <v>1</v>
      </c>
      <c r="M6" t="n">
        <v>0</v>
      </c>
      <c r="N6" t="n">
        <v>0</v>
      </c>
      <c r="O6" t="n">
        <v>0</v>
      </c>
      <c r="P6" t="n">
        <v>0</v>
      </c>
      <c r="Q6" t="n">
        <v>1</v>
      </c>
      <c r="R6" t="n">
        <v>0</v>
      </c>
      <c r="S6" t="n">
        <v>2</v>
      </c>
      <c r="T6" t="n">
        <v>2</v>
      </c>
      <c r="U6" t="n">
        <v>0</v>
      </c>
      <c r="V6" s="2" t="inlineStr">
        <is>
          <t>Svedjenäva
Fläcknycklar</t>
        </is>
      </c>
      <c r="W6">
        <f>HYPERLINK("https://klasma.github.io/Logging_0139/artfynd/A 18772-2026 artfynd.xlsx", "A 18772-2026")</f>
        <v/>
      </c>
      <c r="X6">
        <f>HYPERLINK("https://klasma.github.io/Logging_0139/kartor/A 18772-2026 karta.png", "A 18772-2026")</f>
        <v/>
      </c>
      <c r="Y6">
        <f>HYPERLINK("https://klasma.github.io/Logging_0139/kartor_geotiff/A 18772-2026 georefererad karta.tif", "A 18772-2026")</f>
        <v/>
      </c>
      <c r="AA6">
        <f>HYPERLINK("https://klasma.github.io/Logging_0139/klagomål/A 18772-2026 FSC-klagomål.docx", "A 18772-2026")</f>
        <v/>
      </c>
      <c r="AB6">
        <f>HYPERLINK("https://klasma.github.io/Logging_0139/klagomålsmail/A 18772-2026 FSC-klagomål mail.docx", "A 18772-2026")</f>
        <v/>
      </c>
      <c r="AC6">
        <f>HYPERLINK("https://klasma.github.io/Logging_0139/tillsyn/A 18772-2026 tillsynsbegäran.docx", "A 18772-2026")</f>
        <v/>
      </c>
      <c r="AD6">
        <f>HYPERLINK("https://klasma.github.io/Logging_0139/tillsynsmail/A 18772-2026 tillsynsbegäran mail.docx", "A 18772-2026")</f>
        <v/>
      </c>
    </row>
    <row r="7" ht="15" customHeight="1">
      <c r="A7" t="inlineStr">
        <is>
          <t>A 18790-2026</t>
        </is>
      </c>
      <c r="B7" t="inlineStr">
        <is>
          <t>avverkningsanmälan</t>
        </is>
      </c>
      <c r="C7" t="inlineStr">
        <is>
          <t>Föryngringsavverkning</t>
        </is>
      </c>
      <c r="D7" s="1" t="n">
        <v>46128</v>
      </c>
      <c r="E7" s="1" t="n">
        <v>46322</v>
      </c>
      <c r="F7" t="inlineStr">
        <is>
          <t>STOCKHOLMS LÄN</t>
        </is>
      </c>
      <c r="G7" t="inlineStr">
        <is>
          <t>UPPLANDS-BRO</t>
        </is>
      </c>
      <c r="H7" t="inlineStr">
        <is>
          <t>Övriga statliga verk och myndigheter</t>
        </is>
      </c>
      <c r="I7" t="n">
        <v>5.5</v>
      </c>
      <c r="J7" t="n">
        <v>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</v>
      </c>
      <c r="T7" t="n">
        <v>2</v>
      </c>
      <c r="U7" t="n">
        <v>0</v>
      </c>
      <c r="V7" s="2" t="inlineStr">
        <is>
          <t>Fläcknycklar
Nattviol</t>
        </is>
      </c>
      <c r="W7">
        <f>HYPERLINK("https://klasma.github.io/Logging_0139/artfynd/A 18790-2026 artfynd.xlsx", "A 18790-2026")</f>
        <v/>
      </c>
      <c r="X7">
        <f>HYPERLINK("https://klasma.github.io/Logging_0139/kartor/A 18790-2026 karta.png", "A 18790-2026")</f>
        <v/>
      </c>
      <c r="Y7">
        <f>HYPERLINK("https://klasma.github.io/Logging_0139/kartor_geotiff/A 18790-2026 georefererad karta.tif", "A 18790-2026")</f>
        <v/>
      </c>
      <c r="AA7">
        <f>HYPERLINK("https://klasma.github.io/Logging_0139/klagomål/A 18790-2026 FSC-klagomål.docx", "A 18790-2026")</f>
        <v/>
      </c>
      <c r="AB7">
        <f>HYPERLINK("https://klasma.github.io/Logging_0139/klagomålsmail/A 18790-2026 FSC-klagomål mail.docx", "A 18790-2026")</f>
        <v/>
      </c>
      <c r="AC7">
        <f>HYPERLINK("https://klasma.github.io/Logging_0139/tillsyn/A 18790-2026 tillsynsbegäran.docx", "A 18790-2026")</f>
        <v/>
      </c>
      <c r="AD7">
        <f>HYPERLINK("https://klasma.github.io/Logging_0139/tillsynsmail/A 18790-2026 tillsynsbegäran mail.docx", "A 18790-2026")</f>
        <v/>
      </c>
    </row>
    <row r="8" ht="15" customHeight="1">
      <c r="A8" t="inlineStr">
        <is>
          <t>A 10909-2025</t>
        </is>
      </c>
      <c r="B8" t="inlineStr">
        <is>
          <t>avverkningsanmälan</t>
        </is>
      </c>
      <c r="C8" t="inlineStr">
        <is>
          <t>Föryngringsavverkning</t>
        </is>
      </c>
      <c r="D8" s="1" t="n">
        <v>45722</v>
      </c>
      <c r="E8" s="1" t="n">
        <v>46322</v>
      </c>
      <c r="F8" t="inlineStr">
        <is>
          <t>STOCKHOLMS LÄN</t>
        </is>
      </c>
      <c r="G8" t="inlineStr">
        <is>
          <t>UPPLANDS-BRO</t>
        </is>
      </c>
      <c r="H8" t="inlineStr">
        <is>
          <t>Allmännings- och besparingsskogar</t>
        </is>
      </c>
      <c r="I8" t="n">
        <v>11.2</v>
      </c>
      <c r="J8" t="n">
        <v>1</v>
      </c>
      <c r="K8" t="n">
        <v>0</v>
      </c>
      <c r="L8" t="n">
        <v>1</v>
      </c>
      <c r="M8" t="n">
        <v>0</v>
      </c>
      <c r="N8" t="n">
        <v>0</v>
      </c>
      <c r="O8" t="n">
        <v>0</v>
      </c>
      <c r="P8" t="n">
        <v>0</v>
      </c>
      <c r="Q8" t="n">
        <v>1</v>
      </c>
      <c r="R8" t="n">
        <v>0</v>
      </c>
      <c r="S8" t="n">
        <v>2</v>
      </c>
      <c r="T8" t="n">
        <v>2</v>
      </c>
      <c r="U8" t="n">
        <v>2</v>
      </c>
      <c r="V8" s="2" t="inlineStr">
        <is>
          <t>Arommusseron
Fläcknycklar</t>
        </is>
      </c>
      <c r="W8">
        <f>HYPERLINK("https://klasma.github.io/Logging_0139/artfynd/A 10909-2025 artfynd.xlsx", "A 10909-2025")</f>
        <v/>
      </c>
      <c r="X8">
        <f>HYPERLINK("https://klasma.github.io/Logging_0139/kartor/A 10909-2025 karta.png", "A 10909-2025")</f>
        <v/>
      </c>
      <c r="Y8">
        <f>HYPERLINK("https://klasma.github.io/Logging_0139/kartor_geotiff/A 10909-2025 georefererad karta.tif", "A 10909-2025")</f>
        <v/>
      </c>
      <c r="AA8">
        <f>HYPERLINK("https://klasma.github.io/Logging_0139/klagomål/A 10909-2025 FSC-klagomål.docx", "A 10909-2025")</f>
        <v/>
      </c>
      <c r="AB8">
        <f>HYPERLINK("https://klasma.github.io/Logging_0139/klagomålsmail/A 10909-2025 FSC-klagomål mail.docx", "A 10909-2025")</f>
        <v/>
      </c>
      <c r="AC8">
        <f>HYPERLINK("https://klasma.github.io/Logging_0139/tillsyn/A 10909-2025 tillsynsbegäran.docx", "A 10909-2025")</f>
        <v/>
      </c>
      <c r="AD8">
        <f>HYPERLINK("https://klasma.github.io/Logging_0139/tillsynsmail/A 10909-2025 tillsynsbegäran mail.docx", "A 10909-2025")</f>
        <v/>
      </c>
    </row>
    <row r="9" ht="15" customHeight="1">
      <c r="A9" t="inlineStr">
        <is>
          <t>S 800-2022</t>
        </is>
      </c>
      <c r="B9" t="inlineStr">
        <is>
          <t>samrådsanmälan</t>
        </is>
      </c>
      <c r="C9" t="inlineStr">
        <is>
          <t>Annan skogsbruksåtgärd</t>
        </is>
      </c>
      <c r="D9" s="1" t="n">
        <v>44603</v>
      </c>
      <c r="E9" s="1" t="n">
        <v>46322</v>
      </c>
      <c r="F9" t="inlineStr">
        <is>
          <t>STOCKHOLMS LÄN</t>
        </is>
      </c>
      <c r="G9" t="inlineStr">
        <is>
          <t>UPPLANDS-BRO</t>
        </is>
      </c>
      <c r="I9" t="n">
        <v>4.3</v>
      </c>
      <c r="J9" t="n">
        <v>1</v>
      </c>
      <c r="K9" t="n">
        <v>0</v>
      </c>
      <c r="L9" t="n">
        <v>0</v>
      </c>
      <c r="M9" t="n">
        <v>0</v>
      </c>
      <c r="N9" t="n">
        <v>1</v>
      </c>
      <c r="O9" t="n">
        <v>0</v>
      </c>
      <c r="P9" t="n">
        <v>0</v>
      </c>
      <c r="Q9" t="n">
        <v>1</v>
      </c>
      <c r="R9" t="n">
        <v>1</v>
      </c>
      <c r="S9" t="n">
        <v>2</v>
      </c>
      <c r="T9" t="n">
        <v>7</v>
      </c>
      <c r="U9" t="n">
        <v>1</v>
      </c>
      <c r="V9" s="2" t="inlineStr">
        <is>
          <t>Ask
Mistel</t>
        </is>
      </c>
      <c r="W9">
        <f>HYPERLINK("https://klasma.github.io/Logging_0139/artfynd/S 800-2022 artfynd.xlsx", "S 800-2022")</f>
        <v/>
      </c>
      <c r="X9">
        <f>HYPERLINK("https://klasma.github.io/Logging_0139/kartor/S 800-2022 karta.png", "S 800-2022")</f>
        <v/>
      </c>
      <c r="Y9">
        <f>HYPERLINK("https://klasma.github.io/Logging_0139/kartor_geotiff/S 800-2022 georefererad karta.tif", "S 800-2022")</f>
        <v/>
      </c>
      <c r="AA9">
        <f>HYPERLINK("https://klasma.github.io/Logging_0139/klagomål/S 800-2022 FSC-klagomål.docx", "S 800-2022")</f>
        <v/>
      </c>
      <c r="AB9">
        <f>HYPERLINK("https://klasma.github.io/Logging_0139/klagomålsmail/S 800-2022 FSC-klagomål mail.docx", "S 800-2022")</f>
        <v/>
      </c>
      <c r="AC9">
        <f>HYPERLINK("https://klasma.github.io/Logging_0139/tillsyn/S 800-2022 tillsynsbegäran.docx", "S 800-2022")</f>
        <v/>
      </c>
      <c r="AD9">
        <f>HYPERLINK("https://klasma.github.io/Logging_0139/tillsynsmail/S 800-2022 tillsynsbegäran mail.docx", "S 800-2022")</f>
        <v/>
      </c>
    </row>
    <row r="10" ht="15" customHeight="1">
      <c r="A10" t="inlineStr">
        <is>
          <t>A 73787-2021</t>
        </is>
      </c>
      <c r="B10" t="inlineStr">
        <is>
          <t>avverkningsanmälan</t>
        </is>
      </c>
      <c r="C10" t="inlineStr">
        <is>
          <t>Föryngringsavverkning</t>
        </is>
      </c>
      <c r="D10" s="1" t="n">
        <v>44552</v>
      </c>
      <c r="E10" s="1" t="n">
        <v>46322</v>
      </c>
      <c r="F10" t="inlineStr">
        <is>
          <t>STOCKHOLMS LÄN</t>
        </is>
      </c>
      <c r="G10" t="inlineStr">
        <is>
          <t>UPPLANDS-BRO</t>
        </is>
      </c>
      <c r="I10" t="n">
        <v>4.6</v>
      </c>
      <c r="J10" t="n">
        <v>0</v>
      </c>
      <c r="K10" t="n">
        <v>0</v>
      </c>
      <c r="L10" t="n">
        <v>1</v>
      </c>
      <c r="M10" t="n">
        <v>0</v>
      </c>
      <c r="N10" t="n">
        <v>0</v>
      </c>
      <c r="O10" t="n">
        <v>0</v>
      </c>
      <c r="P10" t="n">
        <v>0</v>
      </c>
      <c r="Q10" t="n">
        <v>1</v>
      </c>
      <c r="R10" t="n">
        <v>0</v>
      </c>
      <c r="S10" t="n">
        <v>1</v>
      </c>
      <c r="T10" t="n">
        <v>1</v>
      </c>
      <c r="U10" t="n">
        <v>0</v>
      </c>
      <c r="V10" s="2" t="inlineStr">
        <is>
          <t>Dofttaggsvamp</t>
        </is>
      </c>
      <c r="W10">
        <f>HYPERLINK("https://klasma.github.io/Logging_0139/artfynd/A 73787-2021 artfynd.xlsx", "A 73787-2021")</f>
        <v/>
      </c>
      <c r="X10">
        <f>HYPERLINK("https://klasma.github.io/Logging_0139/kartor/A 73787-2021 karta.png", "A 73787-2021")</f>
        <v/>
      </c>
      <c r="Y10">
        <f>HYPERLINK("https://klasma.github.io/Logging_0139/kartor_geotiff/A 73787-2021 georefererad karta.tif", "A 73787-2021")</f>
        <v/>
      </c>
      <c r="AA10">
        <f>HYPERLINK("https://klasma.github.io/Logging_0139/klagomål/A 73787-2021 FSC-klagomål.docx", "A 73787-2021")</f>
        <v/>
      </c>
      <c r="AB10">
        <f>HYPERLINK("https://klasma.github.io/Logging_0139/klagomålsmail/A 73787-2021 FSC-klagomål mail.docx", "A 73787-2021")</f>
        <v/>
      </c>
      <c r="AC10">
        <f>HYPERLINK("https://klasma.github.io/Logging_0139/tillsyn/A 73787-2021 tillsynsbegäran.docx", "A 73787-2021")</f>
        <v/>
      </c>
      <c r="AD10">
        <f>HYPERLINK("https://klasma.github.io/Logging_0139/tillsynsmail/A 73787-2021 tillsynsbegäran mail.docx", "A 73787-2021")</f>
        <v/>
      </c>
    </row>
    <row r="11" ht="15" customHeight="1">
      <c r="A11" t="inlineStr">
        <is>
          <t>A 12363-2025</t>
        </is>
      </c>
      <c r="B11" t="inlineStr">
        <is>
          <t>avverkningsanmälan</t>
        </is>
      </c>
      <c r="C11" t="inlineStr">
        <is>
          <t>Föryngringsavverkning</t>
        </is>
      </c>
      <c r="D11" s="1" t="n">
        <v>45730</v>
      </c>
      <c r="E11" s="1" t="n">
        <v>46322</v>
      </c>
      <c r="F11" t="inlineStr">
        <is>
          <t>STOCKHOLMS LÄN</t>
        </is>
      </c>
      <c r="G11" t="inlineStr">
        <is>
          <t>UPPLANDS-BRO</t>
        </is>
      </c>
      <c r="I11" t="n">
        <v>0.8</v>
      </c>
      <c r="J11" t="n">
        <v>1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</v>
      </c>
      <c r="T11" t="n">
        <v>1</v>
      </c>
      <c r="U11" t="n">
        <v>0</v>
      </c>
      <c r="V11" s="2" t="inlineStr">
        <is>
          <t>Nästrot</t>
        </is>
      </c>
      <c r="W11">
        <f>HYPERLINK("https://klasma.github.io/Logging_0139/artfynd/A 12363-2025 artfynd.xlsx", "A 12363-2025")</f>
        <v/>
      </c>
      <c r="X11">
        <f>HYPERLINK("https://klasma.github.io/Logging_0139/kartor/A 12363-2025 karta.png", "A 12363-2025")</f>
        <v/>
      </c>
      <c r="Y11">
        <f>HYPERLINK("https://klasma.github.io/Logging_0139/kartor_geotiff/A 12363-2025 georefererad karta.tif", "A 12363-2025")</f>
        <v/>
      </c>
      <c r="AA11">
        <f>HYPERLINK("https://klasma.github.io/Logging_0139/klagomål/A 12363-2025 FSC-klagomål.docx", "A 12363-2025")</f>
        <v/>
      </c>
      <c r="AB11">
        <f>HYPERLINK("https://klasma.github.io/Logging_0139/klagomålsmail/A 12363-2025 FSC-klagomål mail.docx", "A 12363-2025")</f>
        <v/>
      </c>
      <c r="AC11">
        <f>HYPERLINK("https://klasma.github.io/Logging_0139/tillsyn/A 12363-2025 tillsynsbegäran.docx", "A 12363-2025")</f>
        <v/>
      </c>
      <c r="AD11">
        <f>HYPERLINK("https://klasma.github.io/Logging_0139/tillsynsmail/A 12363-2025 tillsynsbegäran mail.docx", "A 12363-2025")</f>
        <v/>
      </c>
    </row>
    <row r="12" ht="15" customHeight="1">
      <c r="A12" t="inlineStr">
        <is>
          <t>A 64098-2023</t>
        </is>
      </c>
      <c r="B12" t="inlineStr">
        <is>
          <t>avverkningsanmälan</t>
        </is>
      </c>
      <c r="C12" t="inlineStr">
        <is>
          <t>Föryngringsavverkning</t>
        </is>
      </c>
      <c r="D12" s="1" t="n">
        <v>45279</v>
      </c>
      <c r="E12" s="1" t="n">
        <v>46322</v>
      </c>
      <c r="F12" t="inlineStr">
        <is>
          <t>STOCKHOLMS LÄN</t>
        </is>
      </c>
      <c r="G12" t="inlineStr">
        <is>
          <t>UPPLANDS-BRO</t>
        </is>
      </c>
      <c r="I12" t="n">
        <v>0.3</v>
      </c>
      <c r="J12" t="n">
        <v>0</v>
      </c>
      <c r="K12" t="n">
        <v>0</v>
      </c>
      <c r="L12" t="n">
        <v>1</v>
      </c>
      <c r="M12" t="n">
        <v>0</v>
      </c>
      <c r="N12" t="n">
        <v>0</v>
      </c>
      <c r="O12" t="n">
        <v>0</v>
      </c>
      <c r="P12" t="n">
        <v>0</v>
      </c>
      <c r="Q12" t="n">
        <v>1</v>
      </c>
      <c r="R12" t="n">
        <v>0</v>
      </c>
      <c r="S12" t="n">
        <v>1</v>
      </c>
      <c r="T12" t="n">
        <v>1</v>
      </c>
      <c r="U12" t="n">
        <v>0</v>
      </c>
      <c r="V12" s="2" t="inlineStr">
        <is>
          <t>Skogsalmsdvärgmal</t>
        </is>
      </c>
      <c r="W12">
        <f>HYPERLINK("https://klasma.github.io/Logging_0139/artfynd/A 64098-2023 artfynd.xlsx", "A 64098-2023")</f>
        <v/>
      </c>
      <c r="X12">
        <f>HYPERLINK("https://klasma.github.io/Logging_0139/kartor/A 64098-2023 karta.png", "A 64098-2023")</f>
        <v/>
      </c>
      <c r="Y12">
        <f>HYPERLINK("https://klasma.github.io/Logging_0139/kartor_geotiff/A 64098-2023 georefererad karta.tif", "A 64098-2023")</f>
        <v/>
      </c>
      <c r="AA12">
        <f>HYPERLINK("https://klasma.github.io/Logging_0139/klagomål/A 64098-2023 FSC-klagomål.docx", "A 64098-2023")</f>
        <v/>
      </c>
      <c r="AB12">
        <f>HYPERLINK("https://klasma.github.io/Logging_0139/klagomålsmail/A 64098-2023 FSC-klagomål mail.docx", "A 64098-2023")</f>
        <v/>
      </c>
      <c r="AC12">
        <f>HYPERLINK("https://klasma.github.io/Logging_0139/tillsyn/A 64098-2023 tillsynsbegäran.docx", "A 64098-2023")</f>
        <v/>
      </c>
      <c r="AD12">
        <f>HYPERLINK("https://klasma.github.io/Logging_0139/tillsynsmail/A 64098-2023 tillsynsbegäran mail.docx", "A 64098-2023")</f>
        <v/>
      </c>
    </row>
    <row r="13" ht="15" customHeight="1">
      <c r="A13" t="inlineStr">
        <is>
          <t>A 53357-2025</t>
        </is>
      </c>
      <c r="B13" t="inlineStr">
        <is>
          <t>avverkningsanmälan</t>
        </is>
      </c>
      <c r="C13" t="inlineStr">
        <is>
          <t>Föryngringsavverkning</t>
        </is>
      </c>
      <c r="D13" s="1" t="n">
        <v>45959</v>
      </c>
      <c r="E13" s="1" t="n">
        <v>46322</v>
      </c>
      <c r="F13" t="inlineStr">
        <is>
          <t>STOCKHOLMS LÄN</t>
        </is>
      </c>
      <c r="G13" t="inlineStr">
        <is>
          <t>UPPLANDS-BRO</t>
        </is>
      </c>
      <c r="I13" t="n">
        <v>2.4</v>
      </c>
      <c r="J13" t="n">
        <v>1</v>
      </c>
      <c r="K13" t="n">
        <v>0</v>
      </c>
      <c r="L13" t="n">
        <v>0</v>
      </c>
      <c r="M13" t="n">
        <v>0</v>
      </c>
      <c r="N13" t="n">
        <v>1</v>
      </c>
      <c r="O13" t="n">
        <v>0</v>
      </c>
      <c r="P13" t="n">
        <v>0</v>
      </c>
      <c r="Q13" t="n">
        <v>1</v>
      </c>
      <c r="R13" t="n">
        <v>1</v>
      </c>
      <c r="S13" t="n">
        <v>1</v>
      </c>
      <c r="T13" t="n">
        <v>4</v>
      </c>
      <c r="U13" t="n">
        <v>0</v>
      </c>
      <c r="V13" s="2" t="inlineStr">
        <is>
          <t>Bombmurkla</t>
        </is>
      </c>
      <c r="W13">
        <f>HYPERLINK("https://klasma.github.io/Logging_0139/artfynd/A 53357-2025 artfynd.xlsx", "A 53357-2025")</f>
        <v/>
      </c>
      <c r="X13">
        <f>HYPERLINK("https://klasma.github.io/Logging_0139/kartor/A 53357-2025 karta.png", "A 53357-2025")</f>
        <v/>
      </c>
      <c r="Y13">
        <f>HYPERLINK("https://klasma.github.io/Logging_0139/kartor_geotiff/A 53357-2025 georefererad karta.tif", "A 53357-2025")</f>
        <v/>
      </c>
      <c r="AA13">
        <f>HYPERLINK("https://klasma.github.io/Logging_0139/klagomål/A 53357-2025 FSC-klagomål.docx", "A 53357-2025")</f>
        <v/>
      </c>
      <c r="AB13">
        <f>HYPERLINK("https://klasma.github.io/Logging_0139/klagomålsmail/A 53357-2025 FSC-klagomål mail.docx", "A 53357-2025")</f>
        <v/>
      </c>
      <c r="AC13">
        <f>HYPERLINK("https://klasma.github.io/Logging_0139/tillsyn/A 53357-2025 tillsynsbegäran.docx", "A 53357-2025")</f>
        <v/>
      </c>
      <c r="AD13">
        <f>HYPERLINK("https://klasma.github.io/Logging_0139/tillsynsmail/A 53357-2025 tillsynsbegäran mail.docx", "A 53357-2025")</f>
        <v/>
      </c>
    </row>
    <row r="14" ht="15" customHeight="1">
      <c r="A14" t="inlineStr">
        <is>
          <t>A 2062-2025</t>
        </is>
      </c>
      <c r="B14" t="inlineStr">
        <is>
          <t>avverkningsanmälan</t>
        </is>
      </c>
      <c r="C14" t="inlineStr">
        <is>
          <t>Föryngringsavverkning</t>
        </is>
      </c>
      <c r="D14" s="1" t="n">
        <v>45671</v>
      </c>
      <c r="E14" s="1" t="n">
        <v>46322</v>
      </c>
      <c r="F14" t="inlineStr">
        <is>
          <t>STOCKHOLMS LÄN</t>
        </is>
      </c>
      <c r="G14" t="inlineStr">
        <is>
          <t>UPPLANDS-BRO</t>
        </is>
      </c>
      <c r="I14" t="n">
        <v>1.9</v>
      </c>
      <c r="J14" t="n">
        <v>1</v>
      </c>
      <c r="K14" t="n">
        <v>0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1</v>
      </c>
      <c r="T14" t="n">
        <v>1</v>
      </c>
      <c r="U14" t="n">
        <v>1</v>
      </c>
      <c r="V14" s="2" t="inlineStr">
        <is>
          <t>Mindre hackspett</t>
        </is>
      </c>
      <c r="W14">
        <f>HYPERLINK("https://klasma.github.io/Logging_0139/artfynd/A 2062-2025 artfynd.xlsx", "A 2062-2025")</f>
        <v/>
      </c>
      <c r="X14">
        <f>HYPERLINK("https://klasma.github.io/Logging_0139/kartor/A 2062-2025 karta.png", "A 2062-2025")</f>
        <v/>
      </c>
      <c r="Y14">
        <f>HYPERLINK("https://klasma.github.io/Logging_0139/kartor_geotiff/A 2062-2025 georefererad karta.tif", "A 2062-2025")</f>
        <v/>
      </c>
      <c r="AA14">
        <f>HYPERLINK("https://klasma.github.io/Logging_0139/klagomål/A 2062-2025 FSC-klagomål.docx", "A 2062-2025")</f>
        <v/>
      </c>
      <c r="AB14">
        <f>HYPERLINK("https://klasma.github.io/Logging_0139/klagomålsmail/A 2062-2025 FSC-klagomål mail.docx", "A 2062-2025")</f>
        <v/>
      </c>
      <c r="AC14">
        <f>HYPERLINK("https://klasma.github.io/Logging_0139/tillsyn/A 2062-2025 tillsynsbegäran.docx", "A 2062-2025")</f>
        <v/>
      </c>
      <c r="AD14">
        <f>HYPERLINK("https://klasma.github.io/Logging_0139/tillsynsmail/A 2062-2025 tillsynsbegäran mail.docx", "A 2062-2025")</f>
        <v/>
      </c>
      <c r="AE14">
        <f>HYPERLINK("https://klasma.github.io/Logging_0139/fåglar/A 2062-2025 prioriterade fågelarter.docx", "A 2062-2025")</f>
        <v/>
      </c>
    </row>
    <row r="15" ht="15" customHeight="1">
      <c r="A15" t="inlineStr">
        <is>
          <t>A 25561-2025</t>
        </is>
      </c>
      <c r="B15" t="inlineStr">
        <is>
          <t>avverkningsanmälan</t>
        </is>
      </c>
      <c r="C15" t="inlineStr">
        <is>
          <t>Föryngringsavverkning</t>
        </is>
      </c>
      <c r="D15" s="1" t="n">
        <v>45803</v>
      </c>
      <c r="E15" s="1" t="n">
        <v>46322</v>
      </c>
      <c r="F15" t="inlineStr">
        <is>
          <t>STOCKHOLMS LÄN</t>
        </is>
      </c>
      <c r="G15" t="inlineStr">
        <is>
          <t>UPPLANDS-BRO</t>
        </is>
      </c>
      <c r="I15" t="n">
        <v>1.6</v>
      </c>
      <c r="J15" t="n">
        <v>1</v>
      </c>
      <c r="K15" t="n">
        <v>0</v>
      </c>
      <c r="L15" t="n">
        <v>0</v>
      </c>
      <c r="M15" t="n">
        <v>0</v>
      </c>
      <c r="N15" t="n">
        <v>1</v>
      </c>
      <c r="O15" t="n">
        <v>0</v>
      </c>
      <c r="P15" t="n">
        <v>0</v>
      </c>
      <c r="Q15" t="n">
        <v>1</v>
      </c>
      <c r="R15" t="n">
        <v>1</v>
      </c>
      <c r="S15" t="n">
        <v>1</v>
      </c>
      <c r="T15" t="n">
        <v>1</v>
      </c>
      <c r="U15" t="n">
        <v>0</v>
      </c>
      <c r="V15" s="2" t="inlineStr">
        <is>
          <t>Bombmurkla</t>
        </is>
      </c>
      <c r="W15">
        <f>HYPERLINK("https://klasma.github.io/Logging_0139/artfynd/A 25561-2025 artfynd.xlsx", "A 25561-2025")</f>
        <v/>
      </c>
      <c r="X15">
        <f>HYPERLINK("https://klasma.github.io/Logging_0139/kartor/A 25561-2025 karta.png", "A 25561-2025")</f>
        <v/>
      </c>
      <c r="Y15">
        <f>HYPERLINK("https://klasma.github.io/Logging_0139/kartor_geotiff/A 25561-2025 georefererad karta.tif", "A 25561-2025")</f>
        <v/>
      </c>
      <c r="AA15">
        <f>HYPERLINK("https://klasma.github.io/Logging_0139/klagomål/A 25561-2025 FSC-klagomål.docx", "A 25561-2025")</f>
        <v/>
      </c>
      <c r="AB15">
        <f>HYPERLINK("https://klasma.github.io/Logging_0139/klagomålsmail/A 25561-2025 FSC-klagomål mail.docx", "A 25561-2025")</f>
        <v/>
      </c>
      <c r="AC15">
        <f>HYPERLINK("https://klasma.github.io/Logging_0139/tillsyn/A 25561-2025 tillsynsbegäran.docx", "A 25561-2025")</f>
        <v/>
      </c>
      <c r="AD15">
        <f>HYPERLINK("https://klasma.github.io/Logging_0139/tillsynsmail/A 25561-2025 tillsynsbegäran mail.docx", "A 25561-2025")</f>
        <v/>
      </c>
    </row>
    <row r="16" ht="15" customHeight="1">
      <c r="A16" t="inlineStr">
        <is>
          <t>A 23099-2024</t>
        </is>
      </c>
      <c r="B16" t="inlineStr">
        <is>
          <t>avverkningsanmälan</t>
        </is>
      </c>
      <c r="C16" t="inlineStr">
        <is>
          <t>Föryngringsavverkning</t>
        </is>
      </c>
      <c r="D16" s="1" t="n">
        <v>45450</v>
      </c>
      <c r="E16" s="1" t="n">
        <v>46322</v>
      </c>
      <c r="F16" t="inlineStr">
        <is>
          <t>STOCKHOLMS LÄN</t>
        </is>
      </c>
      <c r="G16" t="inlineStr">
        <is>
          <t>UPPLANDS-BRO</t>
        </is>
      </c>
      <c r="H16" t="inlineStr">
        <is>
          <t>Övriga statliga verk och myndigheter</t>
        </is>
      </c>
      <c r="I16" t="n">
        <v>0.7</v>
      </c>
      <c r="J16" t="n">
        <v>0</v>
      </c>
      <c r="K16" t="n">
        <v>0</v>
      </c>
      <c r="L16" t="n">
        <v>0</v>
      </c>
      <c r="M16" t="n">
        <v>1</v>
      </c>
      <c r="N16" t="n">
        <v>0</v>
      </c>
      <c r="O16" t="n">
        <v>0</v>
      </c>
      <c r="P16" t="n">
        <v>0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s="2" t="inlineStr">
        <is>
          <t>Bredbrämad bastardsvärmare</t>
        </is>
      </c>
      <c r="W16">
        <f>HYPERLINK("https://klasma.github.io/Logging_0139/artfynd/A 23099-2024 artfynd.xlsx", "A 23099-2024")</f>
        <v/>
      </c>
      <c r="X16">
        <f>HYPERLINK("https://klasma.github.io/Logging_0139/kartor/A 23099-2024 karta.png", "A 23099-2024")</f>
        <v/>
      </c>
      <c r="Y16">
        <f>HYPERLINK("https://klasma.github.io/Logging_0139/kartor_geotiff/A 23099-2024 georefererad karta.tif", "A 23099-2024")</f>
        <v/>
      </c>
      <c r="AA16">
        <f>HYPERLINK("https://klasma.github.io/Logging_0139/klagomål/A 23099-2024 FSC-klagomål.docx", "A 23099-2024")</f>
        <v/>
      </c>
      <c r="AB16">
        <f>HYPERLINK("https://klasma.github.io/Logging_0139/klagomålsmail/A 23099-2024 FSC-klagomål mail.docx", "A 23099-2024")</f>
        <v/>
      </c>
      <c r="AC16">
        <f>HYPERLINK("https://klasma.github.io/Logging_0139/tillsyn/A 23099-2024 tillsynsbegäran.docx", "A 23099-2024")</f>
        <v/>
      </c>
      <c r="AD16">
        <f>HYPERLINK("https://klasma.github.io/Logging_0139/tillsynsmail/A 23099-2024 tillsynsbegäran mail.docx", "A 23099-2024")</f>
        <v/>
      </c>
    </row>
    <row r="17" ht="15" customHeight="1">
      <c r="A17" t="inlineStr">
        <is>
          <t>A 46438-2023</t>
        </is>
      </c>
      <c r="B17" t="inlineStr">
        <is>
          <t>avverkningsanmälan</t>
        </is>
      </c>
      <c r="C17" t="inlineStr">
        <is>
          <t>Föryngringsavverkning</t>
        </is>
      </c>
      <c r="D17" s="1" t="n">
        <v>45197</v>
      </c>
      <c r="E17" s="1" t="n">
        <v>46322</v>
      </c>
      <c r="F17" t="inlineStr">
        <is>
          <t>STOCKHOLMS LÄN</t>
        </is>
      </c>
      <c r="G17" t="inlineStr">
        <is>
          <t>UPPLANDS-BRO</t>
        </is>
      </c>
      <c r="I17" t="n">
        <v>0.5</v>
      </c>
      <c r="J17" t="n">
        <v>1</v>
      </c>
      <c r="K17" t="n">
        <v>0</v>
      </c>
      <c r="L17" t="n">
        <v>0</v>
      </c>
      <c r="M17" t="n">
        <v>0</v>
      </c>
      <c r="N17" t="n">
        <v>1</v>
      </c>
      <c r="O17" t="n">
        <v>0</v>
      </c>
      <c r="P17" t="n">
        <v>0</v>
      </c>
      <c r="Q17" t="n">
        <v>1</v>
      </c>
      <c r="R17" t="n">
        <v>1</v>
      </c>
      <c r="S17" t="n">
        <v>1</v>
      </c>
      <c r="T17" t="n">
        <v>1</v>
      </c>
      <c r="U17" t="n">
        <v>0</v>
      </c>
      <c r="V17" s="2" t="inlineStr">
        <is>
          <t>Bombmurkla</t>
        </is>
      </c>
      <c r="W17">
        <f>HYPERLINK("https://klasma.github.io/Logging_0139/artfynd/A 46438-2023 artfynd.xlsx", "A 46438-2023")</f>
        <v/>
      </c>
      <c r="X17">
        <f>HYPERLINK("https://klasma.github.io/Logging_0139/kartor/A 46438-2023 karta.png", "A 46438-2023")</f>
        <v/>
      </c>
      <c r="Y17">
        <f>HYPERLINK("https://klasma.github.io/Logging_0139/kartor_geotiff/A 46438-2023 georefererad karta.tif", "A 46438-2023")</f>
        <v/>
      </c>
      <c r="AA17">
        <f>HYPERLINK("https://klasma.github.io/Logging_0139/klagomål/A 46438-2023 FSC-klagomål.docx", "A 46438-2023")</f>
        <v/>
      </c>
      <c r="AB17">
        <f>HYPERLINK("https://klasma.github.io/Logging_0139/klagomålsmail/A 46438-2023 FSC-klagomål mail.docx", "A 46438-2023")</f>
        <v/>
      </c>
      <c r="AC17">
        <f>HYPERLINK("https://klasma.github.io/Logging_0139/tillsyn/A 46438-2023 tillsynsbegäran.docx", "A 46438-2023")</f>
        <v/>
      </c>
      <c r="AD17">
        <f>HYPERLINK("https://klasma.github.io/Logging_0139/tillsynsmail/A 46438-2023 tillsynsbegäran mail.docx", "A 46438-2023")</f>
        <v/>
      </c>
    </row>
    <row r="18" ht="15" customHeight="1">
      <c r="A18" t="inlineStr">
        <is>
          <t>A 11447-2025</t>
        </is>
      </c>
      <c r="B18" t="inlineStr">
        <is>
          <t>avverkningsanmälan</t>
        </is>
      </c>
      <c r="C18" t="inlineStr">
        <is>
          <t>Avverkning för annat ändamål</t>
        </is>
      </c>
      <c r="D18" s="1" t="n">
        <v>45726</v>
      </c>
      <c r="E18" s="1" t="n">
        <v>46322</v>
      </c>
      <c r="F18" t="inlineStr">
        <is>
          <t>STOCKHOLMS LÄN</t>
        </is>
      </c>
      <c r="G18" t="inlineStr">
        <is>
          <t>UPPLANDS-BRO</t>
        </is>
      </c>
      <c r="I18" t="n">
        <v>1.5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</v>
      </c>
      <c r="T18" t="n">
        <v>1</v>
      </c>
      <c r="U18" t="n">
        <v>0</v>
      </c>
      <c r="V18" s="2" t="inlineStr">
        <is>
          <t>Myskbock</t>
        </is>
      </c>
      <c r="W18">
        <f>HYPERLINK("https://klasma.github.io/Logging_0139/artfynd/A 11447-2025 artfynd.xlsx", "A 11447-2025")</f>
        <v/>
      </c>
      <c r="X18">
        <f>HYPERLINK("https://klasma.github.io/Logging_0139/kartor/A 11447-2025 karta.png", "A 11447-2025")</f>
        <v/>
      </c>
      <c r="Y18">
        <f>HYPERLINK("https://klasma.github.io/Logging_0139/kartor_geotiff/A 11447-2025 georefererad karta.tif", "A 11447-2025")</f>
        <v/>
      </c>
      <c r="AA18">
        <f>HYPERLINK("https://klasma.github.io/Logging_0139/klagomål/A 11447-2025 FSC-klagomål.docx", "A 11447-2025")</f>
        <v/>
      </c>
      <c r="AB18">
        <f>HYPERLINK("https://klasma.github.io/Logging_0139/klagomålsmail/A 11447-2025 FSC-klagomål mail.docx", "A 11447-2025")</f>
        <v/>
      </c>
      <c r="AC18">
        <f>HYPERLINK("https://klasma.github.io/Logging_0139/tillsyn/A 11447-2025 tillsynsbegäran.docx", "A 11447-2025")</f>
        <v/>
      </c>
      <c r="AD18">
        <f>HYPERLINK("https://klasma.github.io/Logging_0139/tillsynsmail/A 11447-2025 tillsynsbegäran mail.docx", "A 11447-2025")</f>
        <v/>
      </c>
    </row>
    <row r="19" ht="15" customHeight="1">
      <c r="A19" t="inlineStr">
        <is>
          <t>A 7955-2023</t>
        </is>
      </c>
      <c r="B19" t="inlineStr">
        <is>
          <t>avverkningsanmälan</t>
        </is>
      </c>
      <c r="C19" t="inlineStr">
        <is>
          <t>Föryngringsavverkning</t>
        </is>
      </c>
      <c r="D19" s="1" t="n">
        <v>44973</v>
      </c>
      <c r="E19" s="1" t="n">
        <v>46322</v>
      </c>
      <c r="F19" t="inlineStr">
        <is>
          <t>STOCKHOLMS LÄN</t>
        </is>
      </c>
      <c r="G19" t="inlineStr">
        <is>
          <t>UPPLANDS-BRO</t>
        </is>
      </c>
      <c r="I19" t="n">
        <v>2.9</v>
      </c>
      <c r="J19" t="n">
        <v>1</v>
      </c>
      <c r="K19" t="n">
        <v>0</v>
      </c>
      <c r="L19" t="n">
        <v>0</v>
      </c>
      <c r="M19" t="n">
        <v>0</v>
      </c>
      <c r="N19" t="n">
        <v>1</v>
      </c>
      <c r="O19" t="n">
        <v>0</v>
      </c>
      <c r="P19" t="n">
        <v>0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s="2" t="inlineStr">
        <is>
          <t>Bombmurkla</t>
        </is>
      </c>
      <c r="W19">
        <f>HYPERLINK("https://klasma.github.io/Logging_0139/artfynd/A 7955-2023 artfynd.xlsx", "A 7955-2023")</f>
        <v/>
      </c>
      <c r="X19">
        <f>HYPERLINK("https://klasma.github.io/Logging_0139/kartor/A 7955-2023 karta.png", "A 7955-2023")</f>
        <v/>
      </c>
      <c r="Y19">
        <f>HYPERLINK("https://klasma.github.io/Logging_0139/kartor_geotiff/A 7955-2023 georefererad karta.tif", "A 7955-2023")</f>
        <v/>
      </c>
      <c r="AA19">
        <f>HYPERLINK("https://klasma.github.io/Logging_0139/klagomål/A 7955-2023 FSC-klagomål.docx", "A 7955-2023")</f>
        <v/>
      </c>
      <c r="AB19">
        <f>HYPERLINK("https://klasma.github.io/Logging_0139/klagomålsmail/A 7955-2023 FSC-klagomål mail.docx", "A 7955-2023")</f>
        <v/>
      </c>
      <c r="AC19">
        <f>HYPERLINK("https://klasma.github.io/Logging_0139/tillsyn/A 7955-2023 tillsynsbegäran.docx", "A 7955-2023")</f>
        <v/>
      </c>
      <c r="AD19">
        <f>HYPERLINK("https://klasma.github.io/Logging_0139/tillsynsmail/A 7955-2023 tillsynsbegäran mail.docx", "A 7955-2023")</f>
        <v/>
      </c>
    </row>
    <row r="20" ht="15" customHeight="1">
      <c r="A20" t="inlineStr">
        <is>
          <t>A 26196-2026</t>
        </is>
      </c>
      <c r="B20" t="inlineStr">
        <is>
          <t>avverkningsanmälan</t>
        </is>
      </c>
      <c r="C20" t="inlineStr">
        <is>
          <t>Avverkning för annat ändamål</t>
        </is>
      </c>
      <c r="D20" s="1" t="n">
        <v>46182</v>
      </c>
      <c r="E20" s="1" t="n">
        <v>46322</v>
      </c>
      <c r="F20" t="inlineStr">
        <is>
          <t>STOCKHOLMS LÄN</t>
        </is>
      </c>
      <c r="G20" t="inlineStr">
        <is>
          <t>UPPLANDS-BRO</t>
        </is>
      </c>
      <c r="I20" t="n">
        <v>53.1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2</v>
      </c>
      <c r="U20" t="n">
        <v>2</v>
      </c>
      <c r="V20" s="2" t="inlineStr">
        <is>
          <t>Liljekonvalj</t>
        </is>
      </c>
      <c r="W20">
        <f>HYPERLINK("https://klasma.github.io/Logging_0139/artfynd/A 26196-2026 artfynd.xlsx", "A 26196-2026")</f>
        <v/>
      </c>
      <c r="X20">
        <f>HYPERLINK("https://klasma.github.io/Logging_0139/kartor/A 26196-2026 karta.png", "A 26196-2026")</f>
        <v/>
      </c>
      <c r="Y20">
        <f>HYPERLINK("https://klasma.github.io/Logging_0139/kartor_geotiff/A 26196-2026 georefererad karta.tif", "A 26196-2026")</f>
        <v/>
      </c>
      <c r="AA20">
        <f>HYPERLINK("https://klasma.github.io/Logging_0139/klagomål/A 26196-2026 FSC-klagomål.docx", "A 26196-2026")</f>
        <v/>
      </c>
      <c r="AB20">
        <f>HYPERLINK("https://klasma.github.io/Logging_0139/klagomålsmail/A 26196-2026 FSC-klagomål mail.docx", "A 26196-2026")</f>
        <v/>
      </c>
      <c r="AC20">
        <f>HYPERLINK("https://klasma.github.io/Logging_0139/tillsyn/A 26196-2026 tillsynsbegäran.docx", "A 26196-2026")</f>
        <v/>
      </c>
      <c r="AD20">
        <f>HYPERLINK("https://klasma.github.io/Logging_0139/tillsynsmail/A 26196-2026 tillsynsbegäran mail.docx", "A 26196-2026")</f>
        <v/>
      </c>
    </row>
    <row r="21" ht="15" customHeight="1">
      <c r="A21" t="inlineStr">
        <is>
          <t>A 26637-2026</t>
        </is>
      </c>
      <c r="B21" t="inlineStr">
        <is>
          <t>avverkningsanmälan</t>
        </is>
      </c>
      <c r="C21" t="inlineStr">
        <is>
          <t>Föryngringsavverkning</t>
        </is>
      </c>
      <c r="D21" s="1" t="n">
        <v>46184</v>
      </c>
      <c r="E21" s="1" t="n">
        <v>46322</v>
      </c>
      <c r="F21" t="inlineStr">
        <is>
          <t>STOCKHOLMS LÄN</t>
        </is>
      </c>
      <c r="G21" t="inlineStr">
        <is>
          <t>UPPLANDS-BRO</t>
        </is>
      </c>
      <c r="I21" t="n">
        <v>5.4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n">
        <v>0</v>
      </c>
      <c r="Q21" t="n">
        <v>1</v>
      </c>
      <c r="R21" t="n">
        <v>1</v>
      </c>
      <c r="S21" t="n">
        <v>1</v>
      </c>
      <c r="T21" t="n">
        <v>1</v>
      </c>
      <c r="U21" t="n">
        <v>0</v>
      </c>
      <c r="V21" s="2" t="inlineStr">
        <is>
          <t>Igelkott</t>
        </is>
      </c>
      <c r="W21">
        <f>HYPERLINK("https://klasma.github.io/Logging_0139/artfynd/A 26637-2026 artfynd.xlsx", "A 26637-2026")</f>
        <v/>
      </c>
      <c r="X21">
        <f>HYPERLINK("https://klasma.github.io/Logging_0139/kartor/A 26637-2026 karta.png", "A 26637-2026")</f>
        <v/>
      </c>
      <c r="Y21">
        <f>HYPERLINK("https://klasma.github.io/Logging_0139/kartor_geotiff/A 26637-2026 georefererad karta.tif", "A 26637-2026")</f>
        <v/>
      </c>
      <c r="AA21">
        <f>HYPERLINK("https://klasma.github.io/Logging_0139/klagomål/A 26637-2026 FSC-klagomål.docx", "A 26637-2026")</f>
        <v/>
      </c>
      <c r="AB21">
        <f>HYPERLINK("https://klasma.github.io/Logging_0139/klagomålsmail/A 26637-2026 FSC-klagomål mail.docx", "A 26637-2026")</f>
        <v/>
      </c>
      <c r="AC21">
        <f>HYPERLINK("https://klasma.github.io/Logging_0139/tillsyn/A 26637-2026 tillsynsbegäran.docx", "A 26637-2026")</f>
        <v/>
      </c>
      <c r="AD21">
        <f>HYPERLINK("https://klasma.github.io/Logging_0139/tillsynsmail/A 26637-2026 tillsynsbegäran mail.docx", "A 26637-2026")</f>
        <v/>
      </c>
    </row>
    <row r="22" ht="15" customHeight="1">
      <c r="A22" t="inlineStr">
        <is>
          <t>A 26623-2026</t>
        </is>
      </c>
      <c r="B22" t="inlineStr">
        <is>
          <t>avverkningsanmälan</t>
        </is>
      </c>
      <c r="C22" t="inlineStr">
        <is>
          <t>Föryngringsavverkning</t>
        </is>
      </c>
      <c r="D22" s="1" t="n">
        <v>46184</v>
      </c>
      <c r="E22" s="1" t="n">
        <v>46322</v>
      </c>
      <c r="F22" t="inlineStr">
        <is>
          <t>STOCKHOLMS LÄN</t>
        </is>
      </c>
      <c r="G22" t="inlineStr">
        <is>
          <t>UPPLANDS-BRO</t>
        </is>
      </c>
      <c r="I22" t="n">
        <v>4.6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1</v>
      </c>
      <c r="T22" t="n">
        <v>1</v>
      </c>
      <c r="U22" t="n">
        <v>0</v>
      </c>
      <c r="V22" s="2" t="inlineStr">
        <is>
          <t>Svartöra</t>
        </is>
      </c>
      <c r="W22">
        <f>HYPERLINK("https://klasma.github.io/Logging_0139/artfynd/A 26623-2026 artfynd.xlsx", "A 26623-2026")</f>
        <v/>
      </c>
      <c r="X22">
        <f>HYPERLINK("https://klasma.github.io/Logging_0139/kartor/A 26623-2026 karta.png", "A 26623-2026")</f>
        <v/>
      </c>
      <c r="Y22">
        <f>HYPERLINK("https://klasma.github.io/Logging_0139/kartor_geotiff/A 26623-2026 georefererad karta.tif", "A 26623-2026")</f>
        <v/>
      </c>
      <c r="AA22">
        <f>HYPERLINK("https://klasma.github.io/Logging_0139/klagomål/A 26623-2026 FSC-klagomål.docx", "A 26623-2026")</f>
        <v/>
      </c>
      <c r="AB22">
        <f>HYPERLINK("https://klasma.github.io/Logging_0139/klagomålsmail/A 26623-2026 FSC-klagomål mail.docx", "A 26623-2026")</f>
        <v/>
      </c>
      <c r="AC22">
        <f>HYPERLINK("https://klasma.github.io/Logging_0139/tillsyn/A 26623-2026 tillsynsbegäran.docx", "A 26623-2026")</f>
        <v/>
      </c>
      <c r="AD22">
        <f>HYPERLINK("https://klasma.github.io/Logging_0139/tillsynsmail/A 26623-2026 tillsynsbegäran mail.docx", "A 26623-2026")</f>
        <v/>
      </c>
    </row>
    <row r="23" ht="15" customHeight="1">
      <c r="A23" t="inlineStr">
        <is>
          <t>S 10446-2021</t>
        </is>
      </c>
      <c r="B23" t="inlineStr">
        <is>
          <t>samrådsanmälan</t>
        </is>
      </c>
      <c r="C23" t="inlineStr">
        <is>
          <t>Annan skogsbruksåtgärd</t>
        </is>
      </c>
      <c r="D23" s="1" t="n">
        <v>44558</v>
      </c>
      <c r="E23" s="1" t="n">
        <v>46322</v>
      </c>
      <c r="F23" t="inlineStr">
        <is>
          <t>STOCKHOLMS LÄN</t>
        </is>
      </c>
      <c r="G23" t="inlineStr">
        <is>
          <t>UPPLANDS-BRO</t>
        </is>
      </c>
      <c r="I23" t="n">
        <v>3.2</v>
      </c>
      <c r="J23" t="n">
        <v>0</v>
      </c>
      <c r="K23" t="n">
        <v>0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1</v>
      </c>
      <c r="T23" t="n">
        <v>2</v>
      </c>
      <c r="U23" t="n">
        <v>0</v>
      </c>
      <c r="V23" s="2" t="inlineStr">
        <is>
          <t>Korskovall</t>
        </is>
      </c>
      <c r="W23">
        <f>HYPERLINK("https://klasma.github.io/Logging_0139/artfynd/S 10446-2021 artfynd.xlsx", "S 10446-2021")</f>
        <v/>
      </c>
      <c r="X23">
        <f>HYPERLINK("https://klasma.github.io/Logging_0139/kartor/S 10446-2021 karta.png", "S 10446-2021")</f>
        <v/>
      </c>
      <c r="Y23">
        <f>HYPERLINK("https://klasma.github.io/Logging_0139/kartor_geotiff/S 10446-2021 georefererad karta.tif", "S 10446-2021")</f>
        <v/>
      </c>
      <c r="AA23">
        <f>HYPERLINK("https://klasma.github.io/Logging_0139/klagomål/S 10446-2021 FSC-klagomål.docx", "S 10446-2021")</f>
        <v/>
      </c>
      <c r="AB23">
        <f>HYPERLINK("https://klasma.github.io/Logging_0139/klagomålsmail/S 10446-2021 FSC-klagomål mail.docx", "S 10446-2021")</f>
        <v/>
      </c>
      <c r="AC23">
        <f>HYPERLINK("https://klasma.github.io/Logging_0139/tillsyn/S 10446-2021 tillsynsbegäran.docx", "S 10446-2021")</f>
        <v/>
      </c>
      <c r="AD23">
        <f>HYPERLINK("https://klasma.github.io/Logging_0139/tillsynsmail/S 10446-2021 tillsynsbegäran mail.docx", "S 10446-2021")</f>
        <v/>
      </c>
    </row>
    <row r="24" ht="15" customHeight="1">
      <c r="A24" t="inlineStr">
        <is>
          <t>A 8261-2022</t>
        </is>
      </c>
      <c r="B24" t="inlineStr">
        <is>
          <t>avverkningsanmälan</t>
        </is>
      </c>
      <c r="C24" t="inlineStr">
        <is>
          <t>Föryngringsavverkning</t>
        </is>
      </c>
      <c r="D24" s="1" t="n">
        <v>44609</v>
      </c>
      <c r="E24" s="1" t="n">
        <v>46322</v>
      </c>
      <c r="F24" t="inlineStr">
        <is>
          <t>STOCKHOLMS LÄN</t>
        </is>
      </c>
      <c r="G24" t="inlineStr">
        <is>
          <t>UPPLANDS-BRO</t>
        </is>
      </c>
      <c r="I24" t="n">
        <v>0.8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s="2" t="inlineStr"/>
    </row>
    <row r="25" ht="15" customHeight="1">
      <c r="A25" t="inlineStr">
        <is>
          <t>A 72523-2021</t>
        </is>
      </c>
      <c r="B25" t="inlineStr">
        <is>
          <t>avverkningsanmälan</t>
        </is>
      </c>
      <c r="C25" t="inlineStr">
        <is>
          <t>Föryngringsavverkning</t>
        </is>
      </c>
      <c r="D25" s="1" t="n">
        <v>44546</v>
      </c>
      <c r="E25" s="1" t="n">
        <v>46322</v>
      </c>
      <c r="F25" t="inlineStr">
        <is>
          <t>STOCKHOLMS LÄN</t>
        </is>
      </c>
      <c r="G25" t="inlineStr">
        <is>
          <t>UPPLANDS-BRO</t>
        </is>
      </c>
      <c r="I25" t="n">
        <v>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s="2" t="inlineStr"/>
    </row>
    <row r="26" ht="15" customHeight="1">
      <c r="A26" t="inlineStr">
        <is>
          <t>A 20604-2022</t>
        </is>
      </c>
      <c r="B26" t="inlineStr">
        <is>
          <t>avverkningsanmälan</t>
        </is>
      </c>
      <c r="C26" t="inlineStr">
        <is>
          <t>Föryngringsavverkning</t>
        </is>
      </c>
      <c r="D26" s="1" t="n">
        <v>44700</v>
      </c>
      <c r="E26" s="1" t="n">
        <v>46322</v>
      </c>
      <c r="F26" t="inlineStr">
        <is>
          <t>STOCKHOLMS LÄN</t>
        </is>
      </c>
      <c r="G26" t="inlineStr">
        <is>
          <t>UPPLANDS-BRO</t>
        </is>
      </c>
      <c r="I26" t="n">
        <v>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s="2" t="inlineStr"/>
    </row>
    <row r="27" ht="15" customHeight="1">
      <c r="A27" t="inlineStr">
        <is>
          <t>A 3838-2022</t>
        </is>
      </c>
      <c r="B27" t="inlineStr">
        <is>
          <t>avverkningsanmälan</t>
        </is>
      </c>
      <c r="C27" t="inlineStr">
        <is>
          <t>Föryngringsavverkning</t>
        </is>
      </c>
      <c r="D27" s="1" t="n">
        <v>44587</v>
      </c>
      <c r="E27" s="1" t="n">
        <v>46322</v>
      </c>
      <c r="F27" t="inlineStr">
        <is>
          <t>STOCKHOLMS LÄN</t>
        </is>
      </c>
      <c r="G27" t="inlineStr">
        <is>
          <t>UPPLANDS-BRO</t>
        </is>
      </c>
      <c r="I27" t="n">
        <v>2.9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s="2" t="inlineStr"/>
    </row>
    <row r="28" ht="15" customHeight="1">
      <c r="A28" t="inlineStr">
        <is>
          <t>A 14719-2022</t>
        </is>
      </c>
      <c r="B28" t="inlineStr">
        <is>
          <t>avverkningsanmälan</t>
        </is>
      </c>
      <c r="C28" t="inlineStr">
        <is>
          <t>Föryngringsavverkning</t>
        </is>
      </c>
      <c r="D28" s="1" t="n">
        <v>44655</v>
      </c>
      <c r="E28" s="1" t="n">
        <v>46322</v>
      </c>
      <c r="F28" t="inlineStr">
        <is>
          <t>STOCKHOLMS LÄN</t>
        </is>
      </c>
      <c r="G28" t="inlineStr">
        <is>
          <t>UPPLANDS-BRO</t>
        </is>
      </c>
      <c r="H28" t="inlineStr">
        <is>
          <t>Allmännings- och besparingsskogar</t>
        </is>
      </c>
      <c r="I28" t="n">
        <v>1.2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s="2" t="inlineStr"/>
    </row>
    <row r="29" ht="15" customHeight="1">
      <c r="A29" t="inlineStr">
        <is>
          <t>A 64105-2023</t>
        </is>
      </c>
      <c r="B29" t="inlineStr">
        <is>
          <t>avverkningsanmälan</t>
        </is>
      </c>
      <c r="C29" t="inlineStr">
        <is>
          <t>Föryngringsavverkning</t>
        </is>
      </c>
      <c r="D29" s="1" t="n">
        <v>45279</v>
      </c>
      <c r="E29" s="1" t="n">
        <v>46322</v>
      </c>
      <c r="F29" t="inlineStr">
        <is>
          <t>STOCKHOLMS LÄN</t>
        </is>
      </c>
      <c r="G29" t="inlineStr">
        <is>
          <t>UPPLANDS-BRO</t>
        </is>
      </c>
      <c r="I29" t="n">
        <v>2.2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s="2" t="inlineStr"/>
    </row>
    <row r="30" ht="15" customHeight="1">
      <c r="A30" t="inlineStr">
        <is>
          <t>A 2602-2024</t>
        </is>
      </c>
      <c r="B30" t="inlineStr">
        <is>
          <t>avverkningsanmälan</t>
        </is>
      </c>
      <c r="C30" t="inlineStr">
        <is>
          <t>Föryngringsavverkning</t>
        </is>
      </c>
      <c r="D30" s="1" t="n">
        <v>45313</v>
      </c>
      <c r="E30" s="1" t="n">
        <v>46322</v>
      </c>
      <c r="F30" t="inlineStr">
        <is>
          <t>STOCKHOLMS LÄN</t>
        </is>
      </c>
      <c r="G30" t="inlineStr">
        <is>
          <t>UPPLANDS-BRO</t>
        </is>
      </c>
      <c r="I30" t="n">
        <v>0.7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s="2" t="inlineStr"/>
    </row>
    <row r="31" ht="15" customHeight="1">
      <c r="A31" t="inlineStr">
        <is>
          <t>A 59844-2022</t>
        </is>
      </c>
      <c r="B31" t="inlineStr">
        <is>
          <t>avverkningsanmälan</t>
        </is>
      </c>
      <c r="C31" t="inlineStr">
        <is>
          <t>Föryngringsavverkning</t>
        </is>
      </c>
      <c r="D31" s="1" t="n">
        <v>44901</v>
      </c>
      <c r="E31" s="1" t="n">
        <v>46322</v>
      </c>
      <c r="F31" t="inlineStr">
        <is>
          <t>STOCKHOLMS LÄN</t>
        </is>
      </c>
      <c r="G31" t="inlineStr">
        <is>
          <t>UPPLANDS-BRO</t>
        </is>
      </c>
      <c r="H31" t="inlineStr">
        <is>
          <t>Övriga statliga verk och myndigheter</t>
        </is>
      </c>
      <c r="I31" t="n">
        <v>11.9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s="2" t="inlineStr"/>
    </row>
    <row r="32" ht="15" customHeight="1">
      <c r="A32" t="inlineStr">
        <is>
          <t>A 7275-2022</t>
        </is>
      </c>
      <c r="B32" t="inlineStr">
        <is>
          <t>avverkningsanmälan</t>
        </is>
      </c>
      <c r="C32" t="inlineStr">
        <is>
          <t>Föryngringsavverkning</t>
        </is>
      </c>
      <c r="D32" s="1" t="n">
        <v>44606</v>
      </c>
      <c r="E32" s="1" t="n">
        <v>46322</v>
      </c>
      <c r="F32" t="inlineStr">
        <is>
          <t>STOCKHOLMS LÄN</t>
        </is>
      </c>
      <c r="G32" t="inlineStr">
        <is>
          <t>UPPLANDS-BRO</t>
        </is>
      </c>
      <c r="H32" t="inlineStr">
        <is>
          <t>Övriga statliga verk och myndigheter</t>
        </is>
      </c>
      <c r="I32" t="n">
        <v>9.6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s="2" t="inlineStr"/>
    </row>
    <row r="33" ht="15" customHeight="1">
      <c r="A33" t="inlineStr">
        <is>
          <t>A 64107-2023</t>
        </is>
      </c>
      <c r="B33" t="inlineStr">
        <is>
          <t>avverkningsanmälan</t>
        </is>
      </c>
      <c r="C33" t="inlineStr">
        <is>
          <t>Föryngringsavverkning</t>
        </is>
      </c>
      <c r="D33" s="1" t="n">
        <v>45279</v>
      </c>
      <c r="E33" s="1" t="n">
        <v>46322</v>
      </c>
      <c r="F33" t="inlineStr">
        <is>
          <t>STOCKHOLMS LÄN</t>
        </is>
      </c>
      <c r="G33" t="inlineStr">
        <is>
          <t>UPPLANDS-BRO</t>
        </is>
      </c>
      <c r="I33" t="n">
        <v>0.3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s="2" t="inlineStr"/>
    </row>
    <row r="34" ht="15" customHeight="1">
      <c r="A34" t="inlineStr">
        <is>
          <t>A 7112-2025</t>
        </is>
      </c>
      <c r="B34" t="inlineStr">
        <is>
          <t>avverkningsanmälan</t>
        </is>
      </c>
      <c r="C34" t="inlineStr">
        <is>
          <t>Föryngringsavverkning</t>
        </is>
      </c>
      <c r="D34" s="1" t="n">
        <v>45701</v>
      </c>
      <c r="E34" s="1" t="n">
        <v>46322</v>
      </c>
      <c r="F34" t="inlineStr">
        <is>
          <t>STOCKHOLMS LÄN</t>
        </is>
      </c>
      <c r="G34" t="inlineStr">
        <is>
          <t>UPPLANDS-BRO</t>
        </is>
      </c>
      <c r="I34" t="n">
        <v>2.4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s="2" t="inlineStr"/>
    </row>
    <row r="35" ht="15" customHeight="1">
      <c r="A35" t="inlineStr">
        <is>
          <t>A 3630-2023</t>
        </is>
      </c>
      <c r="B35" t="inlineStr">
        <is>
          <t>avverkningsanmälan</t>
        </is>
      </c>
      <c r="C35" t="inlineStr">
        <is>
          <t>Föryngringsavverkning</t>
        </is>
      </c>
      <c r="D35" s="1" t="n">
        <v>44950</v>
      </c>
      <c r="E35" s="1" t="n">
        <v>46322</v>
      </c>
      <c r="F35" t="inlineStr">
        <is>
          <t>STOCKHOLMS LÄN</t>
        </is>
      </c>
      <c r="G35" t="inlineStr">
        <is>
          <t>UPPLANDS-BRO</t>
        </is>
      </c>
      <c r="I35" t="n">
        <v>1.4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s="2" t="inlineStr"/>
    </row>
    <row r="36" ht="15" customHeight="1">
      <c r="A36" t="inlineStr">
        <is>
          <t>A 38902-2024</t>
        </is>
      </c>
      <c r="B36" t="inlineStr">
        <is>
          <t>avverkningsanmälan</t>
        </is>
      </c>
      <c r="C36" t="inlineStr">
        <is>
          <t>Föryngringsavverkning</t>
        </is>
      </c>
      <c r="D36" s="1" t="n">
        <v>45547</v>
      </c>
      <c r="E36" s="1" t="n">
        <v>46322</v>
      </c>
      <c r="F36" t="inlineStr">
        <is>
          <t>STOCKHOLMS LÄN</t>
        </is>
      </c>
      <c r="G36" t="inlineStr">
        <is>
          <t>UPPLANDS-BRO</t>
        </is>
      </c>
      <c r="H36" t="inlineStr">
        <is>
          <t>Övriga statliga verk och myndigheter</t>
        </is>
      </c>
      <c r="I36" t="n">
        <v>0.8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s="2" t="inlineStr"/>
    </row>
    <row r="37" ht="15" customHeight="1">
      <c r="A37" t="inlineStr">
        <is>
          <t>A 23093-2024</t>
        </is>
      </c>
      <c r="B37" t="inlineStr">
        <is>
          <t>avverkningsanmälan</t>
        </is>
      </c>
      <c r="C37" t="inlineStr">
        <is>
          <t>Föryngringsavverkning</t>
        </is>
      </c>
      <c r="D37" s="1" t="n">
        <v>45450</v>
      </c>
      <c r="E37" s="1" t="n">
        <v>46322</v>
      </c>
      <c r="F37" t="inlineStr">
        <is>
          <t>STOCKHOLMS LÄN</t>
        </is>
      </c>
      <c r="G37" t="inlineStr">
        <is>
          <t>UPPLANDS-BRO</t>
        </is>
      </c>
      <c r="H37" t="inlineStr">
        <is>
          <t>Övriga statliga verk och myndigheter</t>
        </is>
      </c>
      <c r="I37" t="n">
        <v>0.9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s="2" t="inlineStr"/>
    </row>
    <row r="38" ht="15" customHeight="1">
      <c r="A38" t="inlineStr">
        <is>
          <t>A 54222-2023</t>
        </is>
      </c>
      <c r="B38" t="inlineStr">
        <is>
          <t>avverkningsanmälan</t>
        </is>
      </c>
      <c r="C38" t="inlineStr">
        <is>
          <t>Föryngringsavverkning</t>
        </is>
      </c>
      <c r="D38" s="1" t="n">
        <v>45225</v>
      </c>
      <c r="E38" s="1" t="n">
        <v>46322</v>
      </c>
      <c r="F38" t="inlineStr">
        <is>
          <t>STOCKHOLMS LÄN</t>
        </is>
      </c>
      <c r="G38" t="inlineStr">
        <is>
          <t>UPPLANDS-BRO</t>
        </is>
      </c>
      <c r="H38" t="inlineStr">
        <is>
          <t>Övriga statliga verk och myndigheter</t>
        </is>
      </c>
      <c r="I38" t="n">
        <v>8.300000000000001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s="2" t="inlineStr"/>
    </row>
    <row r="39" ht="15" customHeight="1">
      <c r="A39" t="inlineStr">
        <is>
          <t>A 3754-2026</t>
        </is>
      </c>
      <c r="B39" t="inlineStr">
        <is>
          <t>avverkningsanmälan</t>
        </is>
      </c>
      <c r="C39" t="inlineStr">
        <is>
          <t>Föryngringsavverkning</t>
        </is>
      </c>
      <c r="D39" s="1" t="n">
        <v>46043</v>
      </c>
      <c r="E39" s="1" t="n">
        <v>46322</v>
      </c>
      <c r="F39" t="inlineStr">
        <is>
          <t>STOCKHOLMS LÄN</t>
        </is>
      </c>
      <c r="G39" t="inlineStr">
        <is>
          <t>UPPLANDS-BRO</t>
        </is>
      </c>
      <c r="H39" t="inlineStr">
        <is>
          <t>Övriga statliga verk och myndigheter</t>
        </is>
      </c>
      <c r="I39" t="n">
        <v>5.1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s="2" t="inlineStr"/>
    </row>
    <row r="40" ht="15" customHeight="1">
      <c r="A40" t="inlineStr">
        <is>
          <t>A 7860-2024</t>
        </is>
      </c>
      <c r="B40" t="inlineStr">
        <is>
          <t>avverkningsanmälan</t>
        </is>
      </c>
      <c r="C40" t="inlineStr">
        <is>
          <t>Föryngringsavverkning</t>
        </is>
      </c>
      <c r="D40" s="1" t="n">
        <v>45348</v>
      </c>
      <c r="E40" s="1" t="n">
        <v>46322</v>
      </c>
      <c r="F40" t="inlineStr">
        <is>
          <t>STOCKHOLMS LÄN</t>
        </is>
      </c>
      <c r="G40" t="inlineStr">
        <is>
          <t>UPPLANDS-BRO</t>
        </is>
      </c>
      <c r="H40" t="inlineStr">
        <is>
          <t>Övriga statliga verk och myndigheter</t>
        </is>
      </c>
      <c r="I40" t="n">
        <v>1.9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s="2" t="inlineStr"/>
    </row>
    <row r="41" ht="15" customHeight="1">
      <c r="A41" t="inlineStr">
        <is>
          <t>A 23615-2025</t>
        </is>
      </c>
      <c r="B41" t="inlineStr">
        <is>
          <t>avverkningsanmälan</t>
        </is>
      </c>
      <c r="C41" t="inlineStr">
        <is>
          <t>Föryngringsavverkning</t>
        </is>
      </c>
      <c r="D41" s="1" t="n">
        <v>45792</v>
      </c>
      <c r="E41" s="1" t="n">
        <v>46322</v>
      </c>
      <c r="F41" t="inlineStr">
        <is>
          <t>STOCKHOLMS LÄN</t>
        </is>
      </c>
      <c r="G41" t="inlineStr">
        <is>
          <t>UPPLANDS-BRO</t>
        </is>
      </c>
      <c r="I41" t="n">
        <v>1.3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s="2" t="inlineStr"/>
    </row>
    <row r="42" ht="15" customHeight="1">
      <c r="A42" t="inlineStr">
        <is>
          <t>A 23627-2025</t>
        </is>
      </c>
      <c r="B42" t="inlineStr">
        <is>
          <t>avverkningsanmälan</t>
        </is>
      </c>
      <c r="C42" t="inlineStr">
        <is>
          <t>Föryngringsavverkning</t>
        </is>
      </c>
      <c r="D42" s="1" t="n">
        <v>45792</v>
      </c>
      <c r="E42" s="1" t="n">
        <v>46322</v>
      </c>
      <c r="F42" t="inlineStr">
        <is>
          <t>STOCKHOLMS LÄN</t>
        </is>
      </c>
      <c r="G42" t="inlineStr">
        <is>
          <t>UPPLANDS-BRO</t>
        </is>
      </c>
      <c r="I42" t="n">
        <v>1.7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s="2" t="inlineStr"/>
    </row>
    <row r="43" ht="15" customHeight="1">
      <c r="A43" t="inlineStr">
        <is>
          <t>A 28735-2026</t>
        </is>
      </c>
      <c r="B43" t="inlineStr">
        <is>
          <t>avverkningsanmälan</t>
        </is>
      </c>
      <c r="C43" t="inlineStr">
        <is>
          <t>Föryngringsavverkning</t>
        </is>
      </c>
      <c r="D43" s="1" t="n">
        <v>46198</v>
      </c>
      <c r="E43" s="1" t="n">
        <v>46322</v>
      </c>
      <c r="F43" t="inlineStr">
        <is>
          <t>STOCKHOLMS LÄN</t>
        </is>
      </c>
      <c r="G43" t="inlineStr">
        <is>
          <t>UPPLANDS-BRO</t>
        </is>
      </c>
      <c r="I43" t="n">
        <v>3.5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s="2" t="inlineStr"/>
    </row>
    <row r="44" ht="15" customHeight="1">
      <c r="A44" t="inlineStr">
        <is>
          <t>A 28740-2026</t>
        </is>
      </c>
      <c r="B44" t="inlineStr">
        <is>
          <t>avverkningsanmälan</t>
        </is>
      </c>
      <c r="C44" t="inlineStr">
        <is>
          <t>Föryngringsavverkning</t>
        </is>
      </c>
      <c r="D44" s="1" t="n">
        <v>46198</v>
      </c>
      <c r="E44" s="1" t="n">
        <v>46322</v>
      </c>
      <c r="F44" t="inlineStr">
        <is>
          <t>STOCKHOLMS LÄN</t>
        </is>
      </c>
      <c r="G44" t="inlineStr">
        <is>
          <t>UPPLANDS-BRO</t>
        </is>
      </c>
      <c r="I44" t="n">
        <v>4.8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s="2" t="inlineStr"/>
    </row>
    <row r="45" ht="15" customHeight="1">
      <c r="A45" t="inlineStr">
        <is>
          <t>A 28797-2026</t>
        </is>
      </c>
      <c r="B45" t="inlineStr">
        <is>
          <t>avverkningsanmälan</t>
        </is>
      </c>
      <c r="C45" t="inlineStr">
        <is>
          <t>Föryngringsavverkning</t>
        </is>
      </c>
      <c r="D45" s="1" t="n">
        <v>46198</v>
      </c>
      <c r="E45" s="1" t="n">
        <v>46322</v>
      </c>
      <c r="F45" t="inlineStr">
        <is>
          <t>STOCKHOLMS LÄN</t>
        </is>
      </c>
      <c r="G45" t="inlineStr">
        <is>
          <t>UPPLANDS-BRO</t>
        </is>
      </c>
      <c r="I45" t="n">
        <v>2.2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s="2" t="inlineStr"/>
    </row>
    <row r="46" ht="15" customHeight="1">
      <c r="A46" t="inlineStr">
        <is>
          <t>A 27313-2023</t>
        </is>
      </c>
      <c r="B46" t="inlineStr">
        <is>
          <t>avverkningsanmälan</t>
        </is>
      </c>
      <c r="C46" t="inlineStr">
        <is>
          <t>Föryngringsavverkning</t>
        </is>
      </c>
      <c r="D46" s="1" t="n">
        <v>45096</v>
      </c>
      <c r="E46" s="1" t="n">
        <v>46322</v>
      </c>
      <c r="F46" t="inlineStr">
        <is>
          <t>STOCKHOLMS LÄN</t>
        </is>
      </c>
      <c r="G46" t="inlineStr">
        <is>
          <t>UPPLANDS-BRO</t>
        </is>
      </c>
      <c r="I46" t="n">
        <v>1.8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s="2" t="inlineStr"/>
    </row>
    <row r="47" ht="15" customHeight="1">
      <c r="A47" t="inlineStr">
        <is>
          <t>A 64114-2023</t>
        </is>
      </c>
      <c r="B47" t="inlineStr">
        <is>
          <t>avverkningsanmälan</t>
        </is>
      </c>
      <c r="C47" t="inlineStr">
        <is>
          <t>Föryngringsavverkning</t>
        </is>
      </c>
      <c r="D47" s="1" t="n">
        <v>45279</v>
      </c>
      <c r="E47" s="1" t="n">
        <v>46322</v>
      </c>
      <c r="F47" t="inlineStr">
        <is>
          <t>STOCKHOLMS LÄN</t>
        </is>
      </c>
      <c r="G47" t="inlineStr">
        <is>
          <t>UPPLANDS-BRO</t>
        </is>
      </c>
      <c r="I47" t="n">
        <v>0.4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s="2" t="inlineStr"/>
    </row>
    <row r="48" ht="15" customHeight="1">
      <c r="A48" t="inlineStr">
        <is>
          <t>A 50294-2023</t>
        </is>
      </c>
      <c r="B48" t="inlineStr">
        <is>
          <t>avverkningsanmälan</t>
        </is>
      </c>
      <c r="C48" t="inlineStr">
        <is>
          <t>Föryngringsavverkning</t>
        </is>
      </c>
      <c r="D48" s="1" t="n">
        <v>45216</v>
      </c>
      <c r="E48" s="1" t="n">
        <v>46322</v>
      </c>
      <c r="F48" t="inlineStr">
        <is>
          <t>STOCKHOLMS LÄN</t>
        </is>
      </c>
      <c r="G48" t="inlineStr">
        <is>
          <t>UPPLANDS-BRO</t>
        </is>
      </c>
      <c r="I48" t="n">
        <v>3.7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s="2" t="inlineStr"/>
    </row>
    <row r="49" ht="15" customHeight="1">
      <c r="A49" t="inlineStr">
        <is>
          <t>A 9655-2026</t>
        </is>
      </c>
      <c r="B49" t="inlineStr">
        <is>
          <t>avverkningsanmälan</t>
        </is>
      </c>
      <c r="C49" t="inlineStr">
        <is>
          <t>Föryngringsavverkning</t>
        </is>
      </c>
      <c r="D49" s="1" t="n">
        <v>46070</v>
      </c>
      <c r="E49" s="1" t="n">
        <v>46322</v>
      </c>
      <c r="F49" t="inlineStr">
        <is>
          <t>STOCKHOLMS LÄN</t>
        </is>
      </c>
      <c r="G49" t="inlineStr">
        <is>
          <t>UPPLANDS-BRO</t>
        </is>
      </c>
      <c r="H49" t="inlineStr">
        <is>
          <t>Övriga statliga verk och myndigheter</t>
        </is>
      </c>
      <c r="I49" t="n">
        <v>17.2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s="2" t="inlineStr"/>
    </row>
    <row r="50" ht="15" customHeight="1">
      <c r="A50" t="inlineStr">
        <is>
          <t>A 31714-2026</t>
        </is>
      </c>
      <c r="B50" t="inlineStr">
        <is>
          <t>avverkningsanmälan</t>
        </is>
      </c>
      <c r="C50" t="inlineStr">
        <is>
          <t>Föryngringsavverkning</t>
        </is>
      </c>
      <c r="D50" s="1" t="n">
        <v>46226</v>
      </c>
      <c r="E50" s="1" t="n">
        <v>46322</v>
      </c>
      <c r="F50" t="inlineStr">
        <is>
          <t>STOCKHOLMS LÄN</t>
        </is>
      </c>
      <c r="G50" t="inlineStr">
        <is>
          <t>UPPLANDS-BRO</t>
        </is>
      </c>
      <c r="I50" t="n">
        <v>5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s="2" t="inlineStr"/>
    </row>
    <row r="51" ht="15" customHeight="1">
      <c r="A51" t="inlineStr">
        <is>
          <t>A 64110-2023</t>
        </is>
      </c>
      <c r="B51" t="inlineStr">
        <is>
          <t>avverkningsanmälan</t>
        </is>
      </c>
      <c r="C51" t="inlineStr">
        <is>
          <t>Föryngringsavverkning</t>
        </is>
      </c>
      <c r="D51" s="1" t="n">
        <v>45279</v>
      </c>
      <c r="E51" s="1" t="n">
        <v>46322</v>
      </c>
      <c r="F51" t="inlineStr">
        <is>
          <t>STOCKHOLMS LÄN</t>
        </is>
      </c>
      <c r="G51" t="inlineStr">
        <is>
          <t>UPPLANDS-BRO</t>
        </is>
      </c>
      <c r="I51" t="n">
        <v>0.4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s="2" t="inlineStr"/>
    </row>
    <row r="52" ht="15" customHeight="1">
      <c r="A52" t="inlineStr">
        <is>
          <t>A 23098-2024</t>
        </is>
      </c>
      <c r="B52" t="inlineStr">
        <is>
          <t>avverkningsanmälan</t>
        </is>
      </c>
      <c r="C52" t="inlineStr">
        <is>
          <t>Föryngringsavverkning</t>
        </is>
      </c>
      <c r="D52" s="1" t="n">
        <v>45450</v>
      </c>
      <c r="E52" s="1" t="n">
        <v>46322</v>
      </c>
      <c r="F52" t="inlineStr">
        <is>
          <t>STOCKHOLMS LÄN</t>
        </is>
      </c>
      <c r="G52" t="inlineStr">
        <is>
          <t>UPPLANDS-BRO</t>
        </is>
      </c>
      <c r="H52" t="inlineStr">
        <is>
          <t>Övriga statliga verk och myndigheter</t>
        </is>
      </c>
      <c r="I52" t="n">
        <v>1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s="2" t="inlineStr"/>
    </row>
    <row r="53" ht="15" customHeight="1">
      <c r="A53" t="inlineStr">
        <is>
          <t>A 59377-2024</t>
        </is>
      </c>
      <c r="B53" t="inlineStr">
        <is>
          <t>avverkningsanmälan</t>
        </is>
      </c>
      <c r="C53" t="inlineStr">
        <is>
          <t>Föryngringsavverkning</t>
        </is>
      </c>
      <c r="D53" s="1" t="n">
        <v>45638</v>
      </c>
      <c r="E53" s="1" t="n">
        <v>46322</v>
      </c>
      <c r="F53" t="inlineStr">
        <is>
          <t>STOCKHOLMS LÄN</t>
        </is>
      </c>
      <c r="G53" t="inlineStr">
        <is>
          <t>UPPLANDS-BRO</t>
        </is>
      </c>
      <c r="I53" t="n">
        <v>0.6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s="2" t="inlineStr"/>
    </row>
    <row r="54" ht="15" customHeight="1">
      <c r="A54" t="inlineStr">
        <is>
          <t>A 18778-2026</t>
        </is>
      </c>
      <c r="B54" t="inlineStr">
        <is>
          <t>avverkningsanmälan</t>
        </is>
      </c>
      <c r="C54" t="inlineStr">
        <is>
          <t>Föryngringsavverkning</t>
        </is>
      </c>
      <c r="D54" s="1" t="n">
        <v>46128</v>
      </c>
      <c r="E54" s="1" t="n">
        <v>46322</v>
      </c>
      <c r="F54" t="inlineStr">
        <is>
          <t>STOCKHOLMS LÄN</t>
        </is>
      </c>
      <c r="G54" t="inlineStr">
        <is>
          <t>UPPLANDS-BRO</t>
        </is>
      </c>
      <c r="H54" t="inlineStr">
        <is>
          <t>Övriga statliga verk och myndigheter</t>
        </is>
      </c>
      <c r="I54" t="n">
        <v>4.5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s="2" t="inlineStr"/>
    </row>
    <row r="55" ht="15" customHeight="1">
      <c r="A55" t="inlineStr">
        <is>
          <t>A 18813-2026</t>
        </is>
      </c>
      <c r="B55" t="inlineStr">
        <is>
          <t>avverkningsanmälan</t>
        </is>
      </c>
      <c r="C55" t="inlineStr">
        <is>
          <t>Föryngringsavverkning</t>
        </is>
      </c>
      <c r="D55" s="1" t="n">
        <v>46128</v>
      </c>
      <c r="E55" s="1" t="n">
        <v>46322</v>
      </c>
      <c r="F55" t="inlineStr">
        <is>
          <t>STOCKHOLMS LÄN</t>
        </is>
      </c>
      <c r="G55" t="inlineStr">
        <is>
          <t>UPPLANDS-BRO</t>
        </is>
      </c>
      <c r="H55" t="inlineStr">
        <is>
          <t>Övriga statliga verk och myndigheter</t>
        </is>
      </c>
      <c r="I55" t="n">
        <v>56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s="2" t="inlineStr"/>
    </row>
    <row r="56" ht="15" customHeight="1">
      <c r="A56" t="inlineStr">
        <is>
          <t>A 18818-2026</t>
        </is>
      </c>
      <c r="B56" t="inlineStr">
        <is>
          <t>avverkningsanmälan</t>
        </is>
      </c>
      <c r="C56" t="inlineStr">
        <is>
          <t>Föryngringsavverkning</t>
        </is>
      </c>
      <c r="D56" s="1" t="n">
        <v>46128</v>
      </c>
      <c r="E56" s="1" t="n">
        <v>46322</v>
      </c>
      <c r="F56" t="inlineStr">
        <is>
          <t>STOCKHOLMS LÄN</t>
        </is>
      </c>
      <c r="G56" t="inlineStr">
        <is>
          <t>UPPLANDS-BRO</t>
        </is>
      </c>
      <c r="H56" t="inlineStr">
        <is>
          <t>Övriga statliga verk och myndigheter</t>
        </is>
      </c>
      <c r="I56" t="n">
        <v>17.8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s="2" t="inlineStr"/>
    </row>
    <row r="57" ht="15" customHeight="1">
      <c r="A57" t="inlineStr">
        <is>
          <t>A 18787-2026</t>
        </is>
      </c>
      <c r="B57" t="inlineStr">
        <is>
          <t>avverkningsanmälan</t>
        </is>
      </c>
      <c r="C57" t="inlineStr">
        <is>
          <t>Föryngringsavverkning</t>
        </is>
      </c>
      <c r="D57" s="1" t="n">
        <v>46128</v>
      </c>
      <c r="E57" s="1" t="n">
        <v>46322</v>
      </c>
      <c r="F57" t="inlineStr">
        <is>
          <t>STOCKHOLMS LÄN</t>
        </is>
      </c>
      <c r="G57" t="inlineStr">
        <is>
          <t>UPPLANDS-BRO</t>
        </is>
      </c>
      <c r="H57" t="inlineStr">
        <is>
          <t>Övriga statliga verk och myndigheter</t>
        </is>
      </c>
      <c r="I57" t="n">
        <v>7.8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s="2" t="inlineStr"/>
    </row>
    <row r="58" ht="15" customHeight="1">
      <c r="A58" t="inlineStr">
        <is>
          <t>A 59402-2022</t>
        </is>
      </c>
      <c r="B58" t="inlineStr">
        <is>
          <t>avverkningsanmälan</t>
        </is>
      </c>
      <c r="C58" t="inlineStr">
        <is>
          <t>Föryngringsavverkning</t>
        </is>
      </c>
      <c r="D58" s="1" t="n">
        <v>44906</v>
      </c>
      <c r="E58" s="1" t="n">
        <v>46322</v>
      </c>
      <c r="F58" t="inlineStr">
        <is>
          <t>STOCKHOLMS LÄN</t>
        </is>
      </c>
      <c r="G58" t="inlineStr">
        <is>
          <t>UPPLANDS-BRO</t>
        </is>
      </c>
      <c r="I58" t="n">
        <v>1.8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s="2" t="inlineStr"/>
    </row>
    <row r="59" ht="15" customHeight="1">
      <c r="A59" t="inlineStr">
        <is>
          <t>A 33058-2026</t>
        </is>
      </c>
      <c r="B59" t="inlineStr">
        <is>
          <t>avverkningsanmälan</t>
        </is>
      </c>
      <c r="C59" t="inlineStr">
        <is>
          <t>Avverkning för att bevara och utveckla /försöksver</t>
        </is>
      </c>
      <c r="D59" s="1" t="n">
        <v>46245</v>
      </c>
      <c r="E59" s="1" t="n">
        <v>46322</v>
      </c>
      <c r="F59" t="inlineStr">
        <is>
          <t>STOCKHOLMS LÄN</t>
        </is>
      </c>
      <c r="G59" t="inlineStr">
        <is>
          <t>UPPLANDS-BRO</t>
        </is>
      </c>
      <c r="I59" t="n">
        <v>1.3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s="2" t="inlineStr"/>
    </row>
    <row r="60" ht="15" customHeight="1">
      <c r="A60" t="inlineStr">
        <is>
          <t>A 5264-2023</t>
        </is>
      </c>
      <c r="B60" t="inlineStr">
        <is>
          <t>avverkningsanmälan</t>
        </is>
      </c>
      <c r="C60" t="inlineStr">
        <is>
          <t>Föryngringsavverkning</t>
        </is>
      </c>
      <c r="D60" s="1" t="n">
        <v>44959</v>
      </c>
      <c r="E60" s="1" t="n">
        <v>46322</v>
      </c>
      <c r="F60" t="inlineStr">
        <is>
          <t>STOCKHOLMS LÄN</t>
        </is>
      </c>
      <c r="G60" t="inlineStr">
        <is>
          <t>UPPLANDS-BRO</t>
        </is>
      </c>
      <c r="I60" t="n">
        <v>5.8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s="2" t="inlineStr"/>
    </row>
    <row r="61" ht="15" customHeight="1">
      <c r="A61" t="inlineStr">
        <is>
          <t>A 21206-2026</t>
        </is>
      </c>
      <c r="B61" t="inlineStr">
        <is>
          <t>avverkningsanmälan</t>
        </is>
      </c>
      <c r="C61" t="inlineStr">
        <is>
          <t>Föryngringsavverkning</t>
        </is>
      </c>
      <c r="D61" s="1" t="n">
        <v>46146</v>
      </c>
      <c r="E61" s="1" t="n">
        <v>46322</v>
      </c>
      <c r="F61" t="inlineStr">
        <is>
          <t>STOCKHOLMS LÄN</t>
        </is>
      </c>
      <c r="G61" t="inlineStr">
        <is>
          <t>UPPLANDS-BRO</t>
        </is>
      </c>
      <c r="H61" t="inlineStr">
        <is>
          <t>Övriga statliga verk och myndigheter</t>
        </is>
      </c>
      <c r="I61" t="n">
        <v>0.9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s="2" t="inlineStr"/>
    </row>
    <row r="62" ht="15" customHeight="1">
      <c r="A62" t="inlineStr">
        <is>
          <t>A 51587-2023</t>
        </is>
      </c>
      <c r="B62" t="inlineStr">
        <is>
          <t>avverkningsanmälan</t>
        </is>
      </c>
      <c r="C62" t="inlineStr">
        <is>
          <t>Föryngringsavverkning</t>
        </is>
      </c>
      <c r="D62" s="1" t="n">
        <v>45215</v>
      </c>
      <c r="E62" s="1" t="n">
        <v>46322</v>
      </c>
      <c r="F62" t="inlineStr">
        <is>
          <t>STOCKHOLMS LÄN</t>
        </is>
      </c>
      <c r="G62" t="inlineStr">
        <is>
          <t>UPPLANDS-BRO</t>
        </is>
      </c>
      <c r="H62" t="inlineStr">
        <is>
          <t>Allmännings- och besparingsskogar</t>
        </is>
      </c>
      <c r="I62" t="n">
        <v>2.6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s="2" t="inlineStr"/>
    </row>
    <row r="63" ht="15" customHeight="1">
      <c r="A63" t="inlineStr">
        <is>
          <t>A 72524-2021</t>
        </is>
      </c>
      <c r="B63" t="inlineStr">
        <is>
          <t>avverkningsanmälan</t>
        </is>
      </c>
      <c r="C63" t="inlineStr">
        <is>
          <t>Föryngringsavverkning</t>
        </is>
      </c>
      <c r="D63" s="1" t="n">
        <v>44546</v>
      </c>
      <c r="E63" s="1" t="n">
        <v>46322</v>
      </c>
      <c r="F63" t="inlineStr">
        <is>
          <t>STOCKHOLMS LÄN</t>
        </is>
      </c>
      <c r="G63" t="inlineStr">
        <is>
          <t>UPPLANDS-BRO</t>
        </is>
      </c>
      <c r="I63" t="n">
        <v>3.6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s="2" t="inlineStr"/>
    </row>
    <row r="64" ht="15" customHeight="1">
      <c r="A64" t="inlineStr">
        <is>
          <t>A 24579-2026</t>
        </is>
      </c>
      <c r="B64" t="inlineStr">
        <is>
          <t>avverkningsanmälan</t>
        </is>
      </c>
      <c r="C64" t="inlineStr">
        <is>
          <t>Föryngringsavverkning</t>
        </is>
      </c>
      <c r="D64" s="1" t="n">
        <v>46170</v>
      </c>
      <c r="E64" s="1" t="n">
        <v>46322</v>
      </c>
      <c r="F64" t="inlineStr">
        <is>
          <t>STOCKHOLMS LÄN</t>
        </is>
      </c>
      <c r="G64" t="inlineStr">
        <is>
          <t>UPPLANDS-BRO</t>
        </is>
      </c>
      <c r="I64" t="n">
        <v>2.1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s="2" t="inlineStr"/>
    </row>
    <row r="65" ht="15" customHeight="1">
      <c r="A65" t="inlineStr">
        <is>
          <t>A 4338-2023</t>
        </is>
      </c>
      <c r="B65" t="inlineStr">
        <is>
          <t>avverkningsanmälan</t>
        </is>
      </c>
      <c r="C65" t="inlineStr">
        <is>
          <t>Föryngringsavverkning</t>
        </is>
      </c>
      <c r="D65" s="1" t="n">
        <v>44953</v>
      </c>
      <c r="E65" s="1" t="n">
        <v>46322</v>
      </c>
      <c r="F65" t="inlineStr">
        <is>
          <t>STOCKHOLMS LÄN</t>
        </is>
      </c>
      <c r="G65" t="inlineStr">
        <is>
          <t>UPPLANDS-BRO</t>
        </is>
      </c>
      <c r="I65" t="n">
        <v>1.1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s="2" t="inlineStr"/>
    </row>
    <row r="66" ht="15" customHeight="1">
      <c r="A66" t="inlineStr">
        <is>
          <t>A 31160-2022</t>
        </is>
      </c>
      <c r="B66" t="inlineStr">
        <is>
          <t>avverkningsanmälan</t>
        </is>
      </c>
      <c r="C66" t="inlineStr">
        <is>
          <t>Föryngringsavverkning</t>
        </is>
      </c>
      <c r="D66" s="1" t="n">
        <v>44770</v>
      </c>
      <c r="E66" s="1" t="n">
        <v>46322</v>
      </c>
      <c r="F66" t="inlineStr">
        <is>
          <t>STOCKHOLMS LÄN</t>
        </is>
      </c>
      <c r="G66" t="inlineStr">
        <is>
          <t>UPPLANDS-BRO</t>
        </is>
      </c>
      <c r="I66" t="n">
        <v>3.7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s="2" t="inlineStr"/>
    </row>
    <row r="67" ht="15" customHeight="1">
      <c r="A67" t="inlineStr">
        <is>
          <t>A 59848-2022</t>
        </is>
      </c>
      <c r="B67" t="inlineStr">
        <is>
          <t>avverkningsanmälan</t>
        </is>
      </c>
      <c r="C67" t="inlineStr">
        <is>
          <t>Föryngringsavverkning</t>
        </is>
      </c>
      <c r="D67" s="1" t="n">
        <v>44901</v>
      </c>
      <c r="E67" s="1" t="n">
        <v>46322</v>
      </c>
      <c r="F67" t="inlineStr">
        <is>
          <t>STOCKHOLMS LÄN</t>
        </is>
      </c>
      <c r="G67" t="inlineStr">
        <is>
          <t>UPPLANDS-BRO</t>
        </is>
      </c>
      <c r="H67" t="inlineStr">
        <is>
          <t>Övriga statliga verk och myndigheter</t>
        </is>
      </c>
      <c r="I67" t="n">
        <v>10.7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s="2" t="inlineStr"/>
    </row>
    <row r="68" ht="15" customHeight="1">
      <c r="A68" t="inlineStr">
        <is>
          <t>A 58598-2025</t>
        </is>
      </c>
      <c r="B68" t="inlineStr">
        <is>
          <t>avverkningsanmälan</t>
        </is>
      </c>
      <c r="C68" t="inlineStr">
        <is>
          <t>Föryngringsavverkning</t>
        </is>
      </c>
      <c r="D68" s="1" t="n">
        <v>45986</v>
      </c>
      <c r="E68" s="1" t="n">
        <v>46322</v>
      </c>
      <c r="F68" t="inlineStr">
        <is>
          <t>STOCKHOLMS LÄN</t>
        </is>
      </c>
      <c r="G68" t="inlineStr">
        <is>
          <t>UPPLANDS-BRO</t>
        </is>
      </c>
      <c r="H68" t="inlineStr">
        <is>
          <t>Övriga statliga verk och myndigheter</t>
        </is>
      </c>
      <c r="I68" t="n">
        <v>4.5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s="2" t="inlineStr"/>
    </row>
    <row r="69" ht="15" customHeight="1">
      <c r="A69" t="inlineStr">
        <is>
          <t>A 26633-2026</t>
        </is>
      </c>
      <c r="B69" t="inlineStr">
        <is>
          <t>avverkningsanmälan</t>
        </is>
      </c>
      <c r="C69" t="inlineStr">
        <is>
          <t>Föryngringsavverkning</t>
        </is>
      </c>
      <c r="D69" s="1" t="n">
        <v>46184</v>
      </c>
      <c r="E69" s="1" t="n">
        <v>46322</v>
      </c>
      <c r="F69" t="inlineStr">
        <is>
          <t>STOCKHOLMS LÄN</t>
        </is>
      </c>
      <c r="G69" t="inlineStr">
        <is>
          <t>UPPLANDS-BRO</t>
        </is>
      </c>
      <c r="I69" t="n">
        <v>0.7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s="2" t="inlineStr"/>
    </row>
    <row r="70" ht="15" customHeight="1">
      <c r="A70" t="inlineStr">
        <is>
          <t>A 26625-2026</t>
        </is>
      </c>
      <c r="B70" t="inlineStr">
        <is>
          <t>avverkningsanmälan</t>
        </is>
      </c>
      <c r="C70" t="inlineStr">
        <is>
          <t>Föryngringsavverkning</t>
        </is>
      </c>
      <c r="D70" s="1" t="n">
        <v>46184</v>
      </c>
      <c r="E70" s="1" t="n">
        <v>46322</v>
      </c>
      <c r="F70" t="inlineStr">
        <is>
          <t>STOCKHOLMS LÄN</t>
        </is>
      </c>
      <c r="G70" t="inlineStr">
        <is>
          <t>UPPLANDS-BRO</t>
        </is>
      </c>
      <c r="I70" t="n">
        <v>5.3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s="2" t="inlineStr"/>
    </row>
    <row r="71">
      <c r="A71" t="inlineStr">
        <is>
          <t>S 10447-2021</t>
        </is>
      </c>
      <c r="B71" t="inlineStr">
        <is>
          <t>samrådsanmälan</t>
        </is>
      </c>
      <c r="C71" t="inlineStr">
        <is>
          <t>Annan skogsbruksåtgärd</t>
        </is>
      </c>
      <c r="D71" s="1" t="n">
        <v>44558</v>
      </c>
      <c r="E71" s="1" t="n">
        <v>46322</v>
      </c>
      <c r="F71" t="inlineStr">
        <is>
          <t>STOCKHOLMS LÄN</t>
        </is>
      </c>
      <c r="G71" t="inlineStr">
        <is>
          <t>UPPLANDS-BRO</t>
        </is>
      </c>
      <c r="I71" t="n">
        <v>4.4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2026-10-27T03:13:10Z</dcterms:created>
  <dcterms:modified xmlns:dcterms="http://purl.org/dc/terms/" xmlns:xsi="http://www.w3.org/2001/XMLSchema-instance" xsi:type="dcterms:W3CDTF">2026-10-27T03:13:10Z</dcterms:modified>
</cp:coreProperties>
</file>