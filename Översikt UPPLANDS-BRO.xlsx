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46085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46085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64098-2023</t>
        </is>
      </c>
      <c r="B10" s="1" t="n">
        <v>45279</v>
      </c>
      <c r="C10" s="1" t="n">
        <v>46085</v>
      </c>
      <c r="D10" t="inlineStr">
        <is>
          <t>STOCKHOLMS LÄN</t>
        </is>
      </c>
      <c r="E10" t="inlineStr">
        <is>
          <t>UPPLANDS-BRO</t>
        </is>
      </c>
      <c r="G10" t="n">
        <v>0.3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Skogsalmsdvärgmal</t>
        </is>
      </c>
      <c r="S10">
        <f>HYPERLINK("https://klasma.github.io/Logging_0139/artfynd/A 64098-2023 artfynd.xlsx", "A 64098-2023")</f>
        <v/>
      </c>
      <c r="T10">
        <f>HYPERLINK("https://klasma.github.io/Logging_0139/kartor/A 64098-2023 karta.png", "A 64098-2023")</f>
        <v/>
      </c>
      <c r="V10">
        <f>HYPERLINK("https://klasma.github.io/Logging_0139/klagomål/A 64098-2023 FSC-klagomål.docx", "A 64098-2023")</f>
        <v/>
      </c>
      <c r="W10">
        <f>HYPERLINK("https://klasma.github.io/Logging_0139/klagomålsmail/A 64098-2023 FSC-klagomål mail.docx", "A 64098-2023")</f>
        <v/>
      </c>
      <c r="X10">
        <f>HYPERLINK("https://klasma.github.io/Logging_0139/tillsyn/A 64098-2023 tillsynsbegäran.docx", "A 64098-2023")</f>
        <v/>
      </c>
      <c r="Y10">
        <f>HYPERLINK("https://klasma.github.io/Logging_0139/tillsynsmail/A 64098-2023 tillsynsbegäran mail.docx", "A 64098-2023")</f>
        <v/>
      </c>
    </row>
    <row r="11" ht="15" customHeight="1">
      <c r="A11" t="inlineStr">
        <is>
          <t>A 2409-2026</t>
        </is>
      </c>
      <c r="B11" s="1" t="n">
        <v>46034</v>
      </c>
      <c r="C11" s="1" t="n">
        <v>46085</v>
      </c>
      <c r="D11" t="inlineStr">
        <is>
          <t>STOCKHOLMS LÄN</t>
        </is>
      </c>
      <c r="E11" t="inlineStr">
        <is>
          <t>UPPLANDS-BRO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HYPERLINK("https://klasma.github.io/Logging_0139/artfynd/A 2409-2026 artfynd.xlsx", "A 2409-2026")</f>
        <v/>
      </c>
      <c r="T11">
        <f>HYPERLINK("https://klasma.github.io/Logging_0139/kartor/A 2409-2026 karta.png", "A 2409-2026")</f>
        <v/>
      </c>
      <c r="V11">
        <f>HYPERLINK("https://klasma.github.io/Logging_0139/klagomål/A 2409-2026 FSC-klagomål.docx", "A 2409-2026")</f>
        <v/>
      </c>
      <c r="W11">
        <f>HYPERLINK("https://klasma.github.io/Logging_0139/klagomålsmail/A 2409-2026 FSC-klagomål mail.docx", "A 2409-2026")</f>
        <v/>
      </c>
      <c r="X11">
        <f>HYPERLINK("https://klasma.github.io/Logging_0139/tillsyn/A 2409-2026 tillsynsbegäran.docx", "A 2409-2026")</f>
        <v/>
      </c>
      <c r="Y11">
        <f>HYPERLINK("https://klasma.github.io/Logging_0139/tillsynsmail/A 2409-2026 tillsynsbegäran mail.docx", "A 2409-2026")</f>
        <v/>
      </c>
      <c r="Z11">
        <f>HYPERLINK("https://klasma.github.io/Logging_0139/fåglar/A 2409-2026 prioriterade fågelarter.docx", "A 2409-2026")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46085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46085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46085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46085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46085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46085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46085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46085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46085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46085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46085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46085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46085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46085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46085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46085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54222-2023</t>
        </is>
      </c>
      <c r="B29" s="1" t="n">
        <v>45225</v>
      </c>
      <c r="C29" s="1" t="n">
        <v>46085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46085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46085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4338-2023</t>
        </is>
      </c>
      <c r="B32" s="1" t="n">
        <v>44953</v>
      </c>
      <c r="C32" s="1" t="n">
        <v>46085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58011-2021</t>
        </is>
      </c>
      <c r="B33" s="1" t="n">
        <v>44487</v>
      </c>
      <c r="C33" s="1" t="n">
        <v>46085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72524-2021</t>
        </is>
      </c>
      <c r="B34" s="1" t="n">
        <v>44546</v>
      </c>
      <c r="C34" s="1" t="n">
        <v>46085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64107-2023</t>
        </is>
      </c>
      <c r="B35" s="1" t="n">
        <v>45279</v>
      </c>
      <c r="C35" s="1" t="n">
        <v>46085</v>
      </c>
      <c r="D35" t="inlineStr">
        <is>
          <t>STOCKHOLMS LÄN</t>
        </is>
      </c>
      <c r="E35" t="inlineStr">
        <is>
          <t>UPPLANDS-BRO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23093-2024</t>
        </is>
      </c>
      <c r="B36" s="1" t="n">
        <v>45450</v>
      </c>
      <c r="C36" s="1" t="n">
        <v>46085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27313-2023</t>
        </is>
      </c>
      <c r="B37" s="1" t="n">
        <v>45096</v>
      </c>
      <c r="C37" s="1" t="n">
        <v>46085</v>
      </c>
      <c r="D37" t="inlineStr">
        <is>
          <t>STOCKHOLMS LÄN</t>
        </is>
      </c>
      <c r="E37" t="inlineStr">
        <is>
          <t>UPPLANDS-BRO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59377-2024</t>
        </is>
      </c>
      <c r="B38" s="1" t="n">
        <v>45638.35164351852</v>
      </c>
      <c r="C38" s="1" t="n">
        <v>46085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56756-2021</t>
        </is>
      </c>
      <c r="B39" s="1" t="n">
        <v>44481</v>
      </c>
      <c r="C39" s="1" t="n">
        <v>46085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2046-2026</t>
        </is>
      </c>
      <c r="B40" s="1" t="n">
        <v>46031</v>
      </c>
      <c r="C40" s="1" t="n">
        <v>46085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46085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40514-2021</t>
        </is>
      </c>
      <c r="B42" s="1" t="n">
        <v>44420</v>
      </c>
      <c r="C42" s="1" t="n">
        <v>46085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9655-2026</t>
        </is>
      </c>
      <c r="B43" s="1" t="n">
        <v>46070</v>
      </c>
      <c r="C43" s="1" t="n">
        <v>46085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3754-2026</t>
        </is>
      </c>
      <c r="B44" s="1" t="n">
        <v>46043</v>
      </c>
      <c r="C44" s="1" t="n">
        <v>46085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9265-2026</t>
        </is>
      </c>
      <c r="B45" s="1" t="n">
        <v>46069</v>
      </c>
      <c r="C45" s="1" t="n">
        <v>46085</v>
      </c>
      <c r="D45" t="inlineStr">
        <is>
          <t>STOCKHOLMS LÄN</t>
        </is>
      </c>
      <c r="E45" t="inlineStr">
        <is>
          <t>UPPLANDS-BRO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51587-2023</t>
        </is>
      </c>
      <c r="B46" s="1" t="n">
        <v>45215</v>
      </c>
      <c r="C46" s="1" t="n">
        <v>46085</v>
      </c>
      <c r="D46" t="inlineStr">
        <is>
          <t>STOCKHOLMS LÄN</t>
        </is>
      </c>
      <c r="E46" t="inlineStr">
        <is>
          <t>UPPLANDS-BRO</t>
        </is>
      </c>
      <c r="F46" t="inlineStr">
        <is>
          <t>Allmännings- och besparingsskogar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55586-2023</t>
        </is>
      </c>
      <c r="B47" s="1" t="n">
        <v>45232</v>
      </c>
      <c r="C47" s="1" t="n">
        <v>46085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38.9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59700-2021</t>
        </is>
      </c>
      <c r="B48" s="1" t="n">
        <v>44494</v>
      </c>
      <c r="C48" s="1" t="n">
        <v>46085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59848-2022</t>
        </is>
      </c>
      <c r="B49" s="1" t="n">
        <v>44901</v>
      </c>
      <c r="C49" s="1" t="n">
        <v>46085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46085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46085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46085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46085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46438-2023</t>
        </is>
      </c>
      <c r="B54" s="1" t="n">
        <v>45197</v>
      </c>
      <c r="C54" s="1" t="n">
        <v>46085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10910-2025</t>
        </is>
      </c>
      <c r="B55" s="1" t="n">
        <v>45722</v>
      </c>
      <c r="C55" s="1" t="n">
        <v>46085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46085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46085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2602-2024</t>
        </is>
      </c>
      <c r="B58" s="1" t="n">
        <v>45313.73068287037</v>
      </c>
      <c r="C58" s="1" t="n">
        <v>46085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46085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46085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12372-2025</t>
        </is>
      </c>
      <c r="B61" s="1" t="n">
        <v>45730.37740740741</v>
      </c>
      <c r="C61" s="1" t="n">
        <v>46085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46085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3630-2023</t>
        </is>
      </c>
      <c r="B63" s="1" t="n">
        <v>44950</v>
      </c>
      <c r="C63" s="1" t="n">
        <v>46085</v>
      </c>
      <c r="D63" t="inlineStr">
        <is>
          <t>STOCKHOLMS LÄN</t>
        </is>
      </c>
      <c r="E63" t="inlineStr">
        <is>
          <t>UPPLANDS-BRO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7860-2024</t>
        </is>
      </c>
      <c r="B64" s="1" t="n">
        <v>45348</v>
      </c>
      <c r="C64" s="1" t="n">
        <v>46085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64105-2023</t>
        </is>
      </c>
      <c r="B65" s="1" t="n">
        <v>45279</v>
      </c>
      <c r="C65" s="1" t="n">
        <v>46085</v>
      </c>
      <c r="D65" t="inlineStr">
        <is>
          <t>STOCKHOLMS LÄN</t>
        </is>
      </c>
      <c r="E65" t="inlineStr">
        <is>
          <t>UPPLANDS-BRO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7110-2025</t>
        </is>
      </c>
      <c r="B66" s="1" t="n">
        <v>45701</v>
      </c>
      <c r="C66" s="1" t="n">
        <v>46085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64114-2023</t>
        </is>
      </c>
      <c r="B67" s="1" t="n">
        <v>45279</v>
      </c>
      <c r="C67" s="1" t="n">
        <v>46085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46085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31370-2021</t>
        </is>
      </c>
      <c r="B69" s="1" t="n">
        <v>44368</v>
      </c>
      <c r="C69" s="1" t="n">
        <v>46085</v>
      </c>
      <c r="D69" t="inlineStr">
        <is>
          <t>STOCKHOLMS LÄN</t>
        </is>
      </c>
      <c r="E69" t="inlineStr">
        <is>
          <t>UPPLANDS-BRO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12378-2025</t>
        </is>
      </c>
      <c r="B70" s="1" t="n">
        <v>45730.38032407407</v>
      </c>
      <c r="C70" s="1" t="n">
        <v>46085</v>
      </c>
      <c r="D70" t="inlineStr">
        <is>
          <t>STOCKHOLMS LÄN</t>
        </is>
      </c>
      <c r="E70" t="inlineStr">
        <is>
          <t>UPPLANDS-BRO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23098-2024</t>
        </is>
      </c>
      <c r="B71" s="1" t="n">
        <v>45450</v>
      </c>
      <c r="C71" s="1" t="n">
        <v>46085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10912-2025</t>
        </is>
      </c>
      <c r="B72" s="1" t="n">
        <v>45722</v>
      </c>
      <c r="C72" s="1" t="n">
        <v>46085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10935-2025</t>
        </is>
      </c>
      <c r="B73" s="1" t="n">
        <v>45722</v>
      </c>
      <c r="C73" s="1" t="n">
        <v>46085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7112-2025</t>
        </is>
      </c>
      <c r="B74" s="1" t="n">
        <v>45701</v>
      </c>
      <c r="C74" s="1" t="n">
        <v>46085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21560-2021</t>
        </is>
      </c>
      <c r="B75" s="1" t="n">
        <v>44321</v>
      </c>
      <c r="C75" s="1" t="n">
        <v>46085</v>
      </c>
      <c r="D75" t="inlineStr">
        <is>
          <t>STOCKHOLMS LÄN</t>
        </is>
      </c>
      <c r="E75" t="inlineStr">
        <is>
          <t>UPPLANDS-BRO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59844-2022</t>
        </is>
      </c>
      <c r="B76" s="1" t="n">
        <v>44901</v>
      </c>
      <c r="C76" s="1" t="n">
        <v>46085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46085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46085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46085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2026-03-04T11:11:50Z</dcterms:created>
  <dcterms:modified xmlns:dcterms="http://purl.org/dc/terms/" xmlns:xsi="http://www.w3.org/2001/XMLSchema-instance" xsi:type="dcterms:W3CDTF">2026-03-04T11:11:51Z</dcterms:modified>
</cp:coreProperties>
</file>