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46198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46198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46198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46198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46198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46198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46198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46198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12363-2025</t>
        </is>
      </c>
      <c r="B11" s="1" t="n">
        <v>45730</v>
      </c>
      <c r="C11" s="1" t="n">
        <v>46198</v>
      </c>
      <c r="D11" t="inlineStr">
        <is>
          <t>STOCKHOLMS LÄN</t>
        </is>
      </c>
      <c r="E11" t="inlineStr">
        <is>
          <t>UPPLANDS-BRO</t>
        </is>
      </c>
      <c r="G11" t="n">
        <v>0.8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HYPERLINK("https://klasma.github.io/Logging_0139/artfynd/A 12363-2025 artfynd.xlsx", "A 12363-2025")</f>
        <v/>
      </c>
      <c r="T11">
        <f>HYPERLINK("https://klasma.github.io/Logging_0139/kartor/A 12363-2025 karta.png", "A 12363-2025")</f>
        <v/>
      </c>
      <c r="V11">
        <f>HYPERLINK("https://klasma.github.io/Logging_0139/klagomål/A 12363-2025 FSC-klagomål.docx", "A 12363-2025")</f>
        <v/>
      </c>
      <c r="W11">
        <f>HYPERLINK("https://klasma.github.io/Logging_0139/klagomålsmail/A 12363-2025 FSC-klagomål mail.docx", "A 12363-2025")</f>
        <v/>
      </c>
      <c r="X11">
        <f>HYPERLINK("https://klasma.github.io/Logging_0139/tillsyn/A 12363-2025 tillsynsbegäran.docx", "A 12363-2025")</f>
        <v/>
      </c>
      <c r="Y11">
        <f>HYPERLINK("https://klasma.github.io/Logging_0139/tillsynsmail/A 12363-2025 tillsynsbegäran mail.docx", "A 12363-2025")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46198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53357-2025</t>
        </is>
      </c>
      <c r="B13" s="1" t="n">
        <v>45959</v>
      </c>
      <c r="C13" s="1" t="n">
        <v>46198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26623-2026</t>
        </is>
      </c>
      <c r="B14" s="1" t="n">
        <v>46184</v>
      </c>
      <c r="C14" s="1" t="n">
        <v>46198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Svartöra</t>
        </is>
      </c>
      <c r="S14">
        <f>HYPERLINK("https://klasma.github.io/Logging_0139/artfynd/A 26623-2026 artfynd.xlsx", "A 26623-2026")</f>
        <v/>
      </c>
      <c r="T14">
        <f>HYPERLINK("https://klasma.github.io/Logging_0139/kartor/A 26623-2026 karta.png", "A 26623-2026")</f>
        <v/>
      </c>
      <c r="V14">
        <f>HYPERLINK("https://klasma.github.io/Logging_0139/klagomål/A 26623-2026 FSC-klagomål.docx", "A 26623-2026")</f>
        <v/>
      </c>
      <c r="W14">
        <f>HYPERLINK("https://klasma.github.io/Logging_0139/klagomålsmail/A 26623-2026 FSC-klagomål mail.docx", "A 26623-2026")</f>
        <v/>
      </c>
      <c r="X14">
        <f>HYPERLINK("https://klasma.github.io/Logging_0139/tillsyn/A 26623-2026 tillsynsbegäran.docx", "A 26623-2026")</f>
        <v/>
      </c>
      <c r="Y14">
        <f>HYPERLINK("https://klasma.github.io/Logging_0139/tillsynsmail/A 26623-2026 tillsynsbegäran mail.docx", "A 26623-2026")</f>
        <v/>
      </c>
    </row>
    <row r="15" ht="15" customHeight="1">
      <c r="A15" t="inlineStr">
        <is>
          <t>A 46438-2023</t>
        </is>
      </c>
      <c r="B15" s="1" t="n">
        <v>45197</v>
      </c>
      <c r="C15" s="1" t="n">
        <v>46198</v>
      </c>
      <c r="D15" t="inlineStr">
        <is>
          <t>STOCKHOLMS LÄN</t>
        </is>
      </c>
      <c r="E15" t="inlineStr">
        <is>
          <t>UPPLANDS-BRO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46438-2023 artfynd.xlsx", "A 46438-2023")</f>
        <v/>
      </c>
      <c r="T15">
        <f>HYPERLINK("https://klasma.github.io/Logging_0139/kartor/A 46438-2023 karta.png", "A 46438-2023")</f>
        <v/>
      </c>
      <c r="V15">
        <f>HYPERLINK("https://klasma.github.io/Logging_0139/klagomål/A 46438-2023 FSC-klagomål.docx", "A 46438-2023")</f>
        <v/>
      </c>
      <c r="W15">
        <f>HYPERLINK("https://klasma.github.io/Logging_0139/klagomålsmail/A 46438-2023 FSC-klagomål mail.docx", "A 46438-2023")</f>
        <v/>
      </c>
      <c r="X15">
        <f>HYPERLINK("https://klasma.github.io/Logging_0139/tillsyn/A 46438-2023 tillsynsbegäran.docx", "A 46438-2023")</f>
        <v/>
      </c>
      <c r="Y15">
        <f>HYPERLINK("https://klasma.github.io/Logging_0139/tillsynsmail/A 46438-2023 tillsynsbegäran mail.docx", "A 46438-2023")</f>
        <v/>
      </c>
    </row>
    <row r="16" ht="15" customHeight="1">
      <c r="A16" t="inlineStr">
        <is>
          <t>A 26637-2026</t>
        </is>
      </c>
      <c r="B16" s="1" t="n">
        <v>46184</v>
      </c>
      <c r="C16" s="1" t="n">
        <v>46198</v>
      </c>
      <c r="D16" t="inlineStr">
        <is>
          <t>STOCKHOLMS LÄN</t>
        </is>
      </c>
      <c r="E16" t="inlineStr">
        <is>
          <t>UPPLANDS-BRO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HYPERLINK("https://klasma.github.io/Logging_0139/artfynd/A 26637-2026 artfynd.xlsx", "A 26637-2026")</f>
        <v/>
      </c>
      <c r="T16">
        <f>HYPERLINK("https://klasma.github.io/Logging_0139/kartor/A 26637-2026 karta.png", "A 26637-2026")</f>
        <v/>
      </c>
      <c r="V16">
        <f>HYPERLINK("https://klasma.github.io/Logging_0139/klagomål/A 26637-2026 FSC-klagomål.docx", "A 26637-2026")</f>
        <v/>
      </c>
      <c r="W16">
        <f>HYPERLINK("https://klasma.github.io/Logging_0139/klagomålsmail/A 26637-2026 FSC-klagomål mail.docx", "A 26637-2026")</f>
        <v/>
      </c>
      <c r="X16">
        <f>HYPERLINK("https://klasma.github.io/Logging_0139/tillsyn/A 26637-2026 tillsynsbegäran.docx", "A 26637-2026")</f>
        <v/>
      </c>
      <c r="Y16">
        <f>HYPERLINK("https://klasma.github.io/Logging_0139/tillsynsmail/A 26637-2026 tillsynsbegäran mail.docx", "A 26637-2026")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46198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46198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7955-2023</t>
        </is>
      </c>
      <c r="B19" s="1" t="n">
        <v>44973</v>
      </c>
      <c r="C19" s="1" t="n">
        <v>46198</v>
      </c>
      <c r="D19" t="inlineStr">
        <is>
          <t>STOCKHOLMS LÄN</t>
        </is>
      </c>
      <c r="E19" t="inlineStr">
        <is>
          <t>UPPLANDS-BRO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7955-2023 artfynd.xlsx", "A 7955-2023")</f>
        <v/>
      </c>
      <c r="T19">
        <f>HYPERLINK("https://klasma.github.io/Logging_0139/kartor/A 7955-2023 karta.png", "A 7955-2023")</f>
        <v/>
      </c>
      <c r="V19">
        <f>HYPERLINK("https://klasma.github.io/Logging_0139/klagomål/A 7955-2023 FSC-klagomål.docx", "A 7955-2023")</f>
        <v/>
      </c>
      <c r="W19">
        <f>HYPERLINK("https://klasma.github.io/Logging_0139/klagomålsmail/A 7955-2023 FSC-klagomål mail.docx", "A 7955-2023")</f>
        <v/>
      </c>
      <c r="X19">
        <f>HYPERLINK("https://klasma.github.io/Logging_0139/tillsyn/A 7955-2023 tillsynsbegäran.docx", "A 7955-2023")</f>
        <v/>
      </c>
      <c r="Y19">
        <f>HYPERLINK("https://klasma.github.io/Logging_0139/tillsynsmail/A 7955-2023 tillsynsbegäran mail.docx", "A 7955-2023")</f>
        <v/>
      </c>
    </row>
    <row r="20" ht="15" customHeight="1">
      <c r="A20" t="inlineStr">
        <is>
          <t>A 64098-2023</t>
        </is>
      </c>
      <c r="B20" s="1" t="n">
        <v>45279</v>
      </c>
      <c r="C20" s="1" t="n">
        <v>46198</v>
      </c>
      <c r="D20" t="inlineStr">
        <is>
          <t>STOCKHOLMS LÄN</t>
        </is>
      </c>
      <c r="E20" t="inlineStr">
        <is>
          <t>UPPLANDS-BRO</t>
        </is>
      </c>
      <c r="G20" t="n">
        <v>0.3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Skogsalmsdvärgmal</t>
        </is>
      </c>
      <c r="S20">
        <f>HYPERLINK("https://klasma.github.io/Logging_0139/artfynd/A 64098-2023 artfynd.xlsx", "A 64098-2023")</f>
        <v/>
      </c>
      <c r="T20">
        <f>HYPERLINK("https://klasma.github.io/Logging_0139/kartor/A 64098-2023 karta.png", "A 64098-2023")</f>
        <v/>
      </c>
      <c r="V20">
        <f>HYPERLINK("https://klasma.github.io/Logging_0139/klagomål/A 64098-2023 FSC-klagomål.docx", "A 64098-2023")</f>
        <v/>
      </c>
      <c r="W20">
        <f>HYPERLINK("https://klasma.github.io/Logging_0139/klagomålsmail/A 64098-2023 FSC-klagomål mail.docx", "A 64098-2023")</f>
        <v/>
      </c>
      <c r="X20">
        <f>HYPERLINK("https://klasma.github.io/Logging_0139/tillsyn/A 64098-2023 tillsynsbegäran.docx", "A 64098-2023")</f>
        <v/>
      </c>
      <c r="Y20">
        <f>HYPERLINK("https://klasma.github.io/Logging_0139/tillsynsmail/A 64098-2023 tillsynsbegäran mail.docx", "A 64098-2023")</f>
        <v/>
      </c>
    </row>
    <row r="21" ht="15" customHeight="1">
      <c r="A21" t="inlineStr">
        <is>
          <t>A 2062-2025</t>
        </is>
      </c>
      <c r="B21" s="1" t="n">
        <v>45671</v>
      </c>
      <c r="C21" s="1" t="n">
        <v>46198</v>
      </c>
      <c r="D21" t="inlineStr">
        <is>
          <t>STOCKHOLMS LÄN</t>
        </is>
      </c>
      <c r="E21" t="inlineStr">
        <is>
          <t>UPPLANDS-BRO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HYPERLINK("https://klasma.github.io/Logging_0139/artfynd/A 2062-2025 artfynd.xlsx", "A 2062-2025")</f>
        <v/>
      </c>
      <c r="T21">
        <f>HYPERLINK("https://klasma.github.io/Logging_0139/kartor/A 2062-2025 karta.png", "A 2062-2025")</f>
        <v/>
      </c>
      <c r="V21">
        <f>HYPERLINK("https://klasma.github.io/Logging_0139/klagomål/A 2062-2025 FSC-klagomål.docx", "A 2062-2025")</f>
        <v/>
      </c>
      <c r="W21">
        <f>HYPERLINK("https://klasma.github.io/Logging_0139/klagomålsmail/A 2062-2025 FSC-klagomål mail.docx", "A 2062-2025")</f>
        <v/>
      </c>
      <c r="X21">
        <f>HYPERLINK("https://klasma.github.io/Logging_0139/tillsyn/A 2062-2025 tillsynsbegäran.docx", "A 2062-2025")</f>
        <v/>
      </c>
      <c r="Y21">
        <f>HYPERLINK("https://klasma.github.io/Logging_0139/tillsynsmail/A 2062-2025 tillsynsbegäran mail.docx", "A 2062-2025")</f>
        <v/>
      </c>
      <c r="Z21">
        <f>HYPERLINK("https://klasma.github.io/Logging_0139/fåglar/A 2062-2025 prioriterade fågelarter.docx", "A 2062-2025")</f>
        <v/>
      </c>
    </row>
    <row r="22" ht="15" customHeight="1">
      <c r="A22" t="inlineStr">
        <is>
          <t>A 25561-2025</t>
        </is>
      </c>
      <c r="B22" s="1" t="n">
        <v>45803</v>
      </c>
      <c r="C22" s="1" t="n">
        <v>46198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HYPERLINK("https://klasma.github.io/Logging_0139/artfynd/A 25561-2025 artfynd.xlsx", "A 25561-2025")</f>
        <v/>
      </c>
      <c r="T22">
        <f>HYPERLINK("https://klasma.github.io/Logging_0139/kartor/A 25561-2025 karta.png", "A 25561-2025")</f>
        <v/>
      </c>
      <c r="V22">
        <f>HYPERLINK("https://klasma.github.io/Logging_0139/klagomål/A 25561-2025 FSC-klagomål.docx", "A 25561-2025")</f>
        <v/>
      </c>
      <c r="W22">
        <f>HYPERLINK("https://klasma.github.io/Logging_0139/klagomålsmail/A 25561-2025 FSC-klagomål mail.docx", "A 25561-2025")</f>
        <v/>
      </c>
      <c r="X22">
        <f>HYPERLINK("https://klasma.github.io/Logging_0139/tillsyn/A 25561-2025 tillsynsbegäran.docx", "A 25561-2025")</f>
        <v/>
      </c>
      <c r="Y22">
        <f>HYPERLINK("https://klasma.github.io/Logging_0139/tillsynsmail/A 25561-2025 tillsynsbegäran mail.docx", "A 25561-2025")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46198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46198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46198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46198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46198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46198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46198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46198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46198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46198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46198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46198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46198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46198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</v>
      </c>
      <c r="C37" s="1" t="n">
        <v>46198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46198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23093-2024</t>
        </is>
      </c>
      <c r="B39" s="1" t="n">
        <v>45450</v>
      </c>
      <c r="C39" s="1" t="n">
        <v>46198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54222-2023</t>
        </is>
      </c>
      <c r="B40" s="1" t="n">
        <v>45225</v>
      </c>
      <c r="C40" s="1" t="n">
        <v>46198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46198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46198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46198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50294-2023</t>
        </is>
      </c>
      <c r="B44" s="1" t="n">
        <v>45216</v>
      </c>
      <c r="C44" s="1" t="n">
        <v>46198</v>
      </c>
      <c r="D44" t="inlineStr">
        <is>
          <t>STOCKHOLMS LÄN</t>
        </is>
      </c>
      <c r="E44" t="inlineStr">
        <is>
          <t>UPPLANDS-BRO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58011-2021</t>
        </is>
      </c>
      <c r="B45" s="1" t="n">
        <v>44487</v>
      </c>
      <c r="C45" s="1" t="n">
        <v>46198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58598-2025</t>
        </is>
      </c>
      <c r="B46" s="1" t="n">
        <v>45986</v>
      </c>
      <c r="C46" s="1" t="n">
        <v>46198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49622-2021</t>
        </is>
      </c>
      <c r="B47" s="1" t="n">
        <v>44455</v>
      </c>
      <c r="C47" s="1" t="n">
        <v>46198</v>
      </c>
      <c r="D47" t="inlineStr">
        <is>
          <t>STOCKHOLMS LÄN</t>
        </is>
      </c>
      <c r="E47" t="inlineStr">
        <is>
          <t>UPPLANDS-BRO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64110-2023</t>
        </is>
      </c>
      <c r="B48" s="1" t="n">
        <v>45279</v>
      </c>
      <c r="C48" s="1" t="n">
        <v>46198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46198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26196-2026</t>
        </is>
      </c>
      <c r="B50" s="1" t="n">
        <v>46182</v>
      </c>
      <c r="C50" s="1" t="n">
        <v>46198</v>
      </c>
      <c r="D50" t="inlineStr">
        <is>
          <t>STOCKHOLMS LÄN</t>
        </is>
      </c>
      <c r="E50" t="inlineStr">
        <is>
          <t>UPPLANDS-BRO</t>
        </is>
      </c>
      <c r="G50" t="n">
        <v>53.1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26629-2026</t>
        </is>
      </c>
      <c r="B51" s="1" t="n">
        <v>46184</v>
      </c>
      <c r="C51" s="1" t="n">
        <v>46198</v>
      </c>
      <c r="D51" t="inlineStr">
        <is>
          <t>STOCKHOLMS LÄN</t>
        </is>
      </c>
      <c r="E51" t="inlineStr">
        <is>
          <t>UPPLANDS-BRO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59377-2024</t>
        </is>
      </c>
      <c r="B52" s="1" t="n">
        <v>45638</v>
      </c>
      <c r="C52" s="1" t="n">
        <v>46198</v>
      </c>
      <c r="D52" t="inlineStr">
        <is>
          <t>STOCKHOLMS LÄN</t>
        </is>
      </c>
      <c r="E52" t="inlineStr">
        <is>
          <t>UPPLANDS-BRO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26625-2026</t>
        </is>
      </c>
      <c r="B53" s="1" t="n">
        <v>46184</v>
      </c>
      <c r="C53" s="1" t="n">
        <v>46198</v>
      </c>
      <c r="D53" t="inlineStr">
        <is>
          <t>STOCKHOLMS LÄN</t>
        </is>
      </c>
      <c r="E53" t="inlineStr">
        <is>
          <t>UPPLANDS-BRO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26633-2026</t>
        </is>
      </c>
      <c r="B54" s="1" t="n">
        <v>46184</v>
      </c>
      <c r="C54" s="1" t="n">
        <v>46198</v>
      </c>
      <c r="D54" t="inlineStr">
        <is>
          <t>STOCKHOLMS LÄN</t>
        </is>
      </c>
      <c r="E54" t="inlineStr">
        <is>
          <t>UPPLANDS-BRO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21206-2026</t>
        </is>
      </c>
      <c r="B55" s="1" t="n">
        <v>46146</v>
      </c>
      <c r="C55" s="1" t="n">
        <v>46198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21208-2026</t>
        </is>
      </c>
      <c r="B56" s="1" t="n">
        <v>46146</v>
      </c>
      <c r="C56" s="1" t="n">
        <v>46198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59402-2022</t>
        </is>
      </c>
      <c r="B57" s="1" t="n">
        <v>44906</v>
      </c>
      <c r="C57" s="1" t="n">
        <v>46198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46198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2046-2026</t>
        </is>
      </c>
      <c r="B59" s="1" t="n">
        <v>46031</v>
      </c>
      <c r="C59" s="1" t="n">
        <v>46198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46198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3754-2026</t>
        </is>
      </c>
      <c r="B61" s="1" t="n">
        <v>46043</v>
      </c>
      <c r="C61" s="1" t="n">
        <v>46198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46198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4338-2023</t>
        </is>
      </c>
      <c r="B63" s="1" t="n">
        <v>44953</v>
      </c>
      <c r="C63" s="1" t="n">
        <v>46198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9655-2026</t>
        </is>
      </c>
      <c r="B64" s="1" t="n">
        <v>46070</v>
      </c>
      <c r="C64" s="1" t="n">
        <v>46198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46198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46198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18778-2026</t>
        </is>
      </c>
      <c r="B67" s="1" t="n">
        <v>46128</v>
      </c>
      <c r="C67" s="1" t="n">
        <v>46198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18813-2026</t>
        </is>
      </c>
      <c r="B68" s="1" t="n">
        <v>46128</v>
      </c>
      <c r="C68" s="1" t="n">
        <v>46198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18818-2026</t>
        </is>
      </c>
      <c r="B69" s="1" t="n">
        <v>46128</v>
      </c>
      <c r="C69" s="1" t="n">
        <v>46198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46198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24579-2026</t>
        </is>
      </c>
      <c r="B71" s="1" t="n">
        <v>46170</v>
      </c>
      <c r="C71" s="1" t="n">
        <v>46198</v>
      </c>
      <c r="D71" t="inlineStr">
        <is>
          <t>STOCKHOLMS LÄN</t>
        </is>
      </c>
      <c r="E71" t="inlineStr">
        <is>
          <t>UPPLANDS-BRO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46198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3596-2026</t>
        </is>
      </c>
      <c r="B73" s="1" t="n">
        <v>46042</v>
      </c>
      <c r="C73" s="1" t="n">
        <v>46198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46198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46198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46198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46198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</v>
      </c>
      <c r="C78" s="1" t="n">
        <v>46198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</v>
      </c>
      <c r="C79" s="1" t="n">
        <v>46198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2026-06-25T00:46:30Z</dcterms:created>
  <dcterms:modified xmlns:dcterms="http://purl.org/dc/terms/" xmlns:xsi="http://www.w3.org/2001/XMLSchema-instance" xsi:type="dcterms:W3CDTF">2026-06-25T00:46:31Z</dcterms:modified>
</cp:coreProperties>
</file>