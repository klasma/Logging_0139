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46323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46323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46323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46323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46323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46323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46323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46323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46323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45450</v>
      </c>
      <c r="E11" s="1" t="n">
        <v>46323</v>
      </c>
      <c r="F11" t="inlineStr">
        <is>
          <t>STOCKHOLMS LÄN</t>
        </is>
      </c>
      <c r="G11" t="inlineStr">
        <is>
          <t>UPPLANDS-BRO</t>
        </is>
      </c>
      <c r="H11" t="inlineStr">
        <is>
          <t>Övriga statliga verk och myndigheter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Bredbrämad bastardsvärmare</t>
        </is>
      </c>
      <c r="W11">
        <f>HYPERLINK("https://klasma.github.io/Logging_0139/artfynd/A 23099-2024 artfynd.xlsx", "A 23099-2024")</f>
        <v/>
      </c>
      <c r="X11">
        <f>HYPERLINK("https://klasma.github.io/Logging_0139/kartor/A 23099-2024 karta.png", "A 23099-2024")</f>
        <v/>
      </c>
      <c r="Y11">
        <f>HYPERLINK("https://klasma.github.io/Logging_0139/kartor_geotiff/A 23099-2024 georefererad karta.tif", "A 23099-2024")</f>
        <v/>
      </c>
      <c r="AA11">
        <f>HYPERLINK("https://klasma.github.io/Logging_0139/klagomål/A 23099-2024 FSC-klagomål.docx", "A 23099-2024")</f>
        <v/>
      </c>
      <c r="AB11">
        <f>HYPERLINK("https://klasma.github.io/Logging_0139/klagomålsmail/A 23099-2024 FSC-klagomål mail.docx", "A 23099-2024")</f>
        <v/>
      </c>
      <c r="AC11">
        <f>HYPERLINK("https://klasma.github.io/Logging_0139/tillsyn/A 23099-2024 tillsynsbegäran.docx", "A 23099-2024")</f>
        <v/>
      </c>
      <c r="AD11">
        <f>HYPERLINK("https://klasma.github.io/Logging_0139/tillsynsmail/A 23099-2024 tillsynsbegäran mail.docx", "A 23099-2024")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46323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46323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45279</v>
      </c>
      <c r="E14" s="1" t="n">
        <v>46323</v>
      </c>
      <c r="F14" t="inlineStr">
        <is>
          <t>STOCKHOLMS LÄN</t>
        </is>
      </c>
      <c r="G14" t="inlineStr">
        <is>
          <t>UPPLANDS-BRO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Skogsalmsdvärgmal</t>
        </is>
      </c>
      <c r="W14">
        <f>HYPERLINK("https://klasma.github.io/Logging_0139/artfynd/A 64098-2023 artfynd.xlsx", "A 64098-2023")</f>
        <v/>
      </c>
      <c r="X14">
        <f>HYPERLINK("https://klasma.github.io/Logging_0139/kartor/A 64098-2023 karta.png", "A 64098-2023")</f>
        <v/>
      </c>
      <c r="Y14">
        <f>HYPERLINK("https://klasma.github.io/Logging_0139/kartor_geotiff/A 64098-2023 georefererad karta.tif", "A 64098-2023")</f>
        <v/>
      </c>
      <c r="AA14">
        <f>HYPERLINK("https://klasma.github.io/Logging_0139/klagomål/A 64098-2023 FSC-klagomål.docx", "A 64098-2023")</f>
        <v/>
      </c>
      <c r="AB14">
        <f>HYPERLINK("https://klasma.github.io/Logging_0139/klagomålsmail/A 64098-2023 FSC-klagomål mail.docx", "A 64098-2023")</f>
        <v/>
      </c>
      <c r="AC14">
        <f>HYPERLINK("https://klasma.github.io/Logging_0139/tillsyn/A 64098-2023 tillsynsbegäran.docx", "A 64098-2023")</f>
        <v/>
      </c>
      <c r="AD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46323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46323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2062-2025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46323</v>
      </c>
      <c r="F17" t="inlineStr">
        <is>
          <t>STOCKHOLMS LÄN</t>
        </is>
      </c>
      <c r="G17" t="inlineStr">
        <is>
          <t>UPPLANDS-BRO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Mindre hackspett</t>
        </is>
      </c>
      <c r="W17">
        <f>HYPERLINK("https://klasma.github.io/Logging_0139/artfynd/A 2062-2025 artfynd.xlsx", "A 2062-2025")</f>
        <v/>
      </c>
      <c r="X17">
        <f>HYPERLINK("https://klasma.github.io/Logging_0139/kartor/A 2062-2025 karta.png", "A 2062-2025")</f>
        <v/>
      </c>
      <c r="Y17">
        <f>HYPERLINK("https://klasma.github.io/Logging_0139/kartor_geotiff/A 2062-2025 georefererad karta.tif", "A 2062-2025")</f>
        <v/>
      </c>
      <c r="AA17">
        <f>HYPERLINK("https://klasma.github.io/Logging_0139/klagomål/A 2062-2025 FSC-klagomål.docx", "A 2062-2025")</f>
        <v/>
      </c>
      <c r="AB17">
        <f>HYPERLINK("https://klasma.github.io/Logging_0139/klagomålsmail/A 2062-2025 FSC-klagomål mail.docx", "A 2062-2025")</f>
        <v/>
      </c>
      <c r="AC17">
        <f>HYPERLINK("https://klasma.github.io/Logging_0139/tillsyn/A 2062-2025 tillsynsbegäran.docx", "A 2062-2025")</f>
        <v/>
      </c>
      <c r="AD17">
        <f>HYPERLINK("https://klasma.github.io/Logging_0139/tillsynsmail/A 2062-2025 tillsynsbegäran mail.docx", "A 2062-2025")</f>
        <v/>
      </c>
      <c r="AE17">
        <f>HYPERLINK("https://klasma.github.io/Logging_0139/fåglar/A 2062-2025 prioriterade fågelarter.docx", "A 2062-2025")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46323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45803</v>
      </c>
      <c r="E19" s="1" t="n">
        <v>46323</v>
      </c>
      <c r="F19" t="inlineStr">
        <is>
          <t>STOCKHOLMS LÄN</t>
        </is>
      </c>
      <c r="G19" t="inlineStr">
        <is>
          <t>UPPLANDS-BRO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25561-2025 artfynd.xlsx", "A 25561-2025")</f>
        <v/>
      </c>
      <c r="X19">
        <f>HYPERLINK("https://klasma.github.io/Logging_0139/kartor/A 25561-2025 karta.png", "A 25561-2025")</f>
        <v/>
      </c>
      <c r="Y19">
        <f>HYPERLINK("https://klasma.github.io/Logging_0139/kartor_geotiff/A 25561-2025 georefererad karta.tif", "A 25561-2025")</f>
        <v/>
      </c>
      <c r="AA19">
        <f>HYPERLINK("https://klasma.github.io/Logging_0139/klagomål/A 25561-2025 FSC-klagomål.docx", "A 25561-2025")</f>
        <v/>
      </c>
      <c r="AB19">
        <f>HYPERLINK("https://klasma.github.io/Logging_0139/klagomålsmail/A 25561-2025 FSC-klagomål mail.docx", "A 25561-2025")</f>
        <v/>
      </c>
      <c r="AC19">
        <f>HYPERLINK("https://klasma.github.io/Logging_0139/tillsyn/A 25561-2025 tillsynsbegäran.docx", "A 25561-2025")</f>
        <v/>
      </c>
      <c r="AD19">
        <f>HYPERLINK("https://klasma.github.io/Logging_0139/tillsynsmail/A 25561-2025 tillsynsbegäran mail.docx", "A 25561-2025")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46323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46323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26196-2026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46182</v>
      </c>
      <c r="E22" s="1" t="n">
        <v>46323</v>
      </c>
      <c r="F22" t="inlineStr">
        <is>
          <t>STOCKHOLMS LÄN</t>
        </is>
      </c>
      <c r="G22" t="inlineStr">
        <is>
          <t>UPPLANDS-BRO</t>
        </is>
      </c>
      <c r="I22" t="n">
        <v>53.1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Liljekonvalj</t>
        </is>
      </c>
      <c r="W22">
        <f>HYPERLINK("https://klasma.github.io/Logging_0139/artfynd/A 26196-2026 artfynd.xlsx", "A 26196-2026")</f>
        <v/>
      </c>
      <c r="X22">
        <f>HYPERLINK("https://klasma.github.io/Logging_0139/kartor/A 26196-2026 karta.png", "A 26196-2026")</f>
        <v/>
      </c>
      <c r="Y22">
        <f>HYPERLINK("https://klasma.github.io/Logging_0139/kartor_geotiff/A 26196-2026 georefererad karta.tif", "A 26196-2026")</f>
        <v/>
      </c>
      <c r="AA22">
        <f>HYPERLINK("https://klasma.github.io/Logging_0139/klagomål/A 26196-2026 FSC-klagomål.docx", "A 26196-2026")</f>
        <v/>
      </c>
      <c r="AB22">
        <f>HYPERLINK("https://klasma.github.io/Logging_0139/klagomålsmail/A 26196-2026 FSC-klagomål mail.docx", "A 26196-2026")</f>
        <v/>
      </c>
      <c r="AC22">
        <f>HYPERLINK("https://klasma.github.io/Logging_0139/tillsyn/A 26196-2026 tillsynsbegäran.docx", "A 26196-2026")</f>
        <v/>
      </c>
      <c r="AD22">
        <f>HYPERLINK("https://klasma.github.io/Logging_0139/tillsynsmail/A 26196-2026 tillsynsbegäran mail.docx", "A 26196-2026")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46323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46323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46323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46323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46323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46323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46323</v>
      </c>
      <c r="F29" t="inlineStr">
        <is>
          <t>STOCKHOLMS LÄN</t>
        </is>
      </c>
      <c r="G29" t="inlineStr">
        <is>
          <t>UPPLANDS-BRO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44959</v>
      </c>
      <c r="E30" s="1" t="n">
        <v>46323</v>
      </c>
      <c r="F30" t="inlineStr">
        <is>
          <t>STOCKHOLMS LÄN</t>
        </is>
      </c>
      <c r="G30" t="inlineStr">
        <is>
          <t>UPPLANDS-BRO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45450</v>
      </c>
      <c r="E31" s="1" t="n">
        <v>46323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46323</v>
      </c>
      <c r="F32" t="inlineStr">
        <is>
          <t>STOCKHOLMS LÄN</t>
        </is>
      </c>
      <c r="G32" t="inlineStr">
        <is>
          <t>UPPLANDS-BRO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46323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45225</v>
      </c>
      <c r="E34" s="1" t="n">
        <v>46323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44953</v>
      </c>
      <c r="E35" s="1" t="n">
        <v>46323</v>
      </c>
      <c r="F35" t="inlineStr">
        <is>
          <t>STOCKHOLMS LÄN</t>
        </is>
      </c>
      <c r="G35" t="inlineStr">
        <is>
          <t>UPPLANDS-BRO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72524-2021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46323</v>
      </c>
      <c r="F36" t="inlineStr">
        <is>
          <t>STOCKHOLMS LÄN</t>
        </is>
      </c>
      <c r="G36" t="inlineStr">
        <is>
          <t>UPPLANDS-BRO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46323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50294-2023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46323</v>
      </c>
      <c r="F38" t="inlineStr">
        <is>
          <t>STOCKHOLMS LÄN</t>
        </is>
      </c>
      <c r="G38" t="inlineStr">
        <is>
          <t>UPPLANDS-BRO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46323</v>
      </c>
      <c r="F39" t="inlineStr">
        <is>
          <t>STOCKHOLMS LÄN</t>
        </is>
      </c>
      <c r="G39" t="inlineStr">
        <is>
          <t>UPPLANDS-BRO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46323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46323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46323</v>
      </c>
      <c r="F42" t="inlineStr">
        <is>
          <t>STOCKHOLMS LÄN</t>
        </is>
      </c>
      <c r="G42" t="inlineStr">
        <is>
          <t>UPPLANDS-BRO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46323</v>
      </c>
      <c r="F43" t="inlineStr">
        <is>
          <t>STOCKHOLMS LÄN</t>
        </is>
      </c>
      <c r="G43" t="inlineStr">
        <is>
          <t>UPPLANDS-BRO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46323</v>
      </c>
      <c r="F44" t="inlineStr">
        <is>
          <t>STOCKHOLMS LÄN</t>
        </is>
      </c>
      <c r="G44" t="inlineStr">
        <is>
          <t>UPPLANDS-BRO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28735-2026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46323</v>
      </c>
      <c r="F45" t="inlineStr">
        <is>
          <t>STOCKHOLMS LÄN</t>
        </is>
      </c>
      <c r="G45" t="inlineStr">
        <is>
          <t>UPPLANDS-BRO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46323</v>
      </c>
      <c r="F46" t="inlineStr">
        <is>
          <t>STOCKHOLMS LÄN</t>
        </is>
      </c>
      <c r="G46" t="inlineStr">
        <is>
          <t>UPPLANDS-BRO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46323</v>
      </c>
      <c r="F47" t="inlineStr">
        <is>
          <t>STOCKHOLMS LÄN</t>
        </is>
      </c>
      <c r="G47" t="inlineStr">
        <is>
          <t>UPPLANDS-BRO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46323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31714-2026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46226</v>
      </c>
      <c r="E49" s="1" t="n">
        <v>46323</v>
      </c>
      <c r="F49" t="inlineStr">
        <is>
          <t>STOCKHOLMS LÄN</t>
        </is>
      </c>
      <c r="G49" t="inlineStr">
        <is>
          <t>UPPLANDS-BRO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46323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33058-2026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46245</v>
      </c>
      <c r="E51" s="1" t="n">
        <v>46323</v>
      </c>
      <c r="F51" t="inlineStr">
        <is>
          <t>STOCKHOLMS LÄN</t>
        </is>
      </c>
      <c r="G51" t="inlineStr">
        <is>
          <t>UPPLANDS-BRO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46323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46323</v>
      </c>
      <c r="F53" t="inlineStr">
        <is>
          <t>STOCKHOLMS LÄN</t>
        </is>
      </c>
      <c r="G53" t="inlineStr">
        <is>
          <t>UPPLANDS-BRO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46323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18813-2026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46323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56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46323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46323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46323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46323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44906</v>
      </c>
      <c r="E60" s="1" t="n">
        <v>46323</v>
      </c>
      <c r="F60" t="inlineStr">
        <is>
          <t>STOCKHOLMS LÄN</t>
        </is>
      </c>
      <c r="G60" t="inlineStr">
        <is>
          <t>UPPLANDS-BRO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46323</v>
      </c>
      <c r="F61" t="inlineStr">
        <is>
          <t>STOCKHOLMS LÄN</t>
        </is>
      </c>
      <c r="G61" t="inlineStr">
        <is>
          <t>UPPLANDS-BRO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44950</v>
      </c>
      <c r="E62" s="1" t="n">
        <v>46323</v>
      </c>
      <c r="F62" t="inlineStr">
        <is>
          <t>STOCKHOLMS LÄN</t>
        </is>
      </c>
      <c r="G62" t="inlineStr">
        <is>
          <t>UPPLANDS-BRO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45348</v>
      </c>
      <c r="E63" s="1" t="n">
        <v>46323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46323</v>
      </c>
      <c r="F64" t="inlineStr">
        <is>
          <t>STOCKHOLMS LÄN</t>
        </is>
      </c>
      <c r="G64" t="inlineStr">
        <is>
          <t>UPPLANDS-BRO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21206-2026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46323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46323</v>
      </c>
      <c r="F66" t="inlineStr">
        <is>
          <t>STOCKHOLMS LÄN</t>
        </is>
      </c>
      <c r="G66" t="inlineStr">
        <is>
          <t>UPPLANDS-BRO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46323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44770</v>
      </c>
      <c r="E68" s="1" t="n">
        <v>46323</v>
      </c>
      <c r="F68" t="inlineStr">
        <is>
          <t>STOCKHOLMS LÄN</t>
        </is>
      </c>
      <c r="G68" t="inlineStr">
        <is>
          <t>UPPLANDS-BRO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46323</v>
      </c>
      <c r="F69" t="inlineStr">
        <is>
          <t>STOCKHOLMS LÄN</t>
        </is>
      </c>
      <c r="G69" t="inlineStr">
        <is>
          <t>UPPLANDS-BRO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46323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10447-2021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44558</v>
      </c>
      <c r="E71" s="1" t="n">
        <v>46323</v>
      </c>
      <c r="F71" t="inlineStr">
        <is>
          <t>STOCKHOLMS LÄN</t>
        </is>
      </c>
      <c r="G71" t="inlineStr">
        <is>
          <t>UPPLANDS-BRO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2026-10-28T03:15:13Z</dcterms:created>
  <dcterms:modified xmlns:dcterms="http://purl.org/dc/terms/" xmlns:xsi="http://www.w3.org/2001/XMLSchema-instance" xsi:type="dcterms:W3CDTF">2026-10-28T03:15:13Z</dcterms:modified>
</cp:coreProperties>
</file>