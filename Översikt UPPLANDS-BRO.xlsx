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46279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46279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46279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46279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46279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46279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46279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46279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46279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46279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46279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46279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46279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45279</v>
      </c>
      <c r="E17" s="1" t="n">
        <v>46279</v>
      </c>
      <c r="F17" t="inlineStr">
        <is>
          <t>STOCKHOLMS LÄN</t>
        </is>
      </c>
      <c r="G17" t="inlineStr">
        <is>
          <t>UPPLANDS-BRO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Skogsalmsdvärgmal</t>
        </is>
      </c>
      <c r="W17">
        <f>HYPERLINK("https://klasma.github.io/Logging_0139/artfynd/A 64098-2023 artfynd.xlsx", "A 64098-2023")</f>
        <v/>
      </c>
      <c r="X17">
        <f>HYPERLINK("https://klasma.github.io/Logging_0139/kartor/A 64098-2023 karta.png", "A 64098-2023")</f>
        <v/>
      </c>
      <c r="Y17">
        <f>HYPERLINK("https://klasma.github.io/Logging_0139/kartor_geotiff/A 64098-2023 georefererad karta.tif", "A 64098-2023")</f>
        <v/>
      </c>
      <c r="AA17">
        <f>HYPERLINK("https://klasma.github.io/Logging_0139/klagomål/A 64098-2023 FSC-klagomål.docx", "A 64098-2023")</f>
        <v/>
      </c>
      <c r="AB17">
        <f>HYPERLINK("https://klasma.github.io/Logging_0139/klagomålsmail/A 64098-2023 FSC-klagomål mail.docx", "A 64098-2023")</f>
        <v/>
      </c>
      <c r="AC17">
        <f>HYPERLINK("https://klasma.github.io/Logging_0139/tillsyn/A 64098-2023 tillsynsbegäran.docx", "A 64098-2023")</f>
        <v/>
      </c>
      <c r="AD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46279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Kopparödla</t>
        </is>
      </c>
      <c r="W18">
        <f>HYPERLINK("https://klasma.github.io/Logging_0139/artfynd/A 73773-2021 artfynd.xlsx", "A 73773-2021")</f>
        <v/>
      </c>
      <c r="X18">
        <f>HYPERLINK("https://klasma.github.io/Logging_0139/kartor/A 73773-2021 karta.png", "A 73773-2021")</f>
        <v/>
      </c>
      <c r="Y18">
        <f>HYPERLINK("https://klasma.github.io/Logging_0139/kartor_geotiff/A 73773-2021 georefererad karta.tif", "A 73773-2021")</f>
        <v/>
      </c>
      <c r="AA18">
        <f>HYPERLINK("https://klasma.github.io/Logging_0139/klagomål/A 73773-2021 FSC-klagomål.docx", "A 73773-2021")</f>
        <v/>
      </c>
      <c r="AB18">
        <f>HYPERLINK("https://klasma.github.io/Logging_0139/klagomålsmail/A 73773-2021 FSC-klagomål mail.docx", "A 73773-2021")</f>
        <v/>
      </c>
      <c r="AC18">
        <f>HYPERLINK("https://klasma.github.io/Logging_0139/tillsyn/A 73773-2021 tillsynsbegäran.docx", "A 73773-2021")</f>
        <v/>
      </c>
      <c r="AD18">
        <f>HYPERLINK("https://klasma.github.io/Logging_0139/tillsynsmail/A 73773-2021 tillsynsbegäran mail.docx", "A 73773-2021")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46279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46279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46279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46279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46279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46279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46279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46279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46279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46279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46279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46279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46279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46279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46279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46279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46279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45450</v>
      </c>
      <c r="E36" s="1" t="n">
        <v>46279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18787-2026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46279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46279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46279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46279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46279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46279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44953</v>
      </c>
      <c r="E43" s="1" t="n">
        <v>46279</v>
      </c>
      <c r="F43" t="inlineStr">
        <is>
          <t>STOCKHOLMS LÄN</t>
        </is>
      </c>
      <c r="G43" t="inlineStr">
        <is>
          <t>UPPLANDS-BRO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46279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46279</v>
      </c>
      <c r="F45" t="inlineStr">
        <is>
          <t>STOCKHOLMS LÄN</t>
        </is>
      </c>
      <c r="G45" t="inlineStr">
        <is>
          <t>UPPLANDS-BRO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46279</v>
      </c>
      <c r="F46" t="inlineStr">
        <is>
          <t>STOCKHOLMS LÄN</t>
        </is>
      </c>
      <c r="G46" t="inlineStr">
        <is>
          <t>UPPLANDS-BRO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45450</v>
      </c>
      <c r="E47" s="1" t="n">
        <v>46279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45096</v>
      </c>
      <c r="E48" s="1" t="n">
        <v>46279</v>
      </c>
      <c r="F48" t="inlineStr">
        <is>
          <t>STOCKHOLMS LÄN</t>
        </is>
      </c>
      <c r="G48" t="inlineStr">
        <is>
          <t>UPPLANDS-BRO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46279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46279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46279</v>
      </c>
      <c r="F51" t="inlineStr">
        <is>
          <t>STOCKHOLMS LÄN</t>
        </is>
      </c>
      <c r="G51" t="inlineStr">
        <is>
          <t>UPPLANDS-BRO</t>
        </is>
      </c>
      <c r="H51" t="inlineStr">
        <is>
          <t>Allmännings- och besparingsskogar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46279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46279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46279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26196-2026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46182</v>
      </c>
      <c r="E55" s="1" t="n">
        <v>46279</v>
      </c>
      <c r="F55" t="inlineStr">
        <is>
          <t>STOCKHOLMS LÄN</t>
        </is>
      </c>
      <c r="G55" t="inlineStr">
        <is>
          <t>UPPLANDS-BRO</t>
        </is>
      </c>
      <c r="I55" t="n">
        <v>53.1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46279</v>
      </c>
      <c r="F56" t="inlineStr">
        <is>
          <t>STOCKHOLMS LÄN</t>
        </is>
      </c>
      <c r="G56" t="inlineStr">
        <is>
          <t>UPPLANDS-BRO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46279</v>
      </c>
      <c r="F57" t="inlineStr">
        <is>
          <t>STOCKHOLMS LÄN</t>
        </is>
      </c>
      <c r="G57" t="inlineStr">
        <is>
          <t>UPPLANDS-BRO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46279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46279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49622-2021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44455</v>
      </c>
      <c r="E60" s="1" t="n">
        <v>46279</v>
      </c>
      <c r="F60" t="inlineStr">
        <is>
          <t>STOCKHOLMS LÄN</t>
        </is>
      </c>
      <c r="G60" t="inlineStr">
        <is>
          <t>UPPLANDS-BRO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46279</v>
      </c>
      <c r="F61" t="inlineStr">
        <is>
          <t>STOCKHOLMS LÄN</t>
        </is>
      </c>
      <c r="G61" t="inlineStr">
        <is>
          <t>UPPLANDS-BRO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46279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46279</v>
      </c>
      <c r="F63" t="inlineStr">
        <is>
          <t>STOCKHOLMS LÄN</t>
        </is>
      </c>
      <c r="G63" t="inlineStr">
        <is>
          <t>UPPLANDS-BRO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46279</v>
      </c>
      <c r="F64" t="inlineStr">
        <is>
          <t>STOCKHOLMS LÄN</t>
        </is>
      </c>
      <c r="G64" t="inlineStr">
        <is>
          <t>UPPLANDS-BRO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46279</v>
      </c>
      <c r="F65" t="inlineStr">
        <is>
          <t>STOCKHOLMS LÄN</t>
        </is>
      </c>
      <c r="G65" t="inlineStr">
        <is>
          <t>UPPLANDS-BRO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46279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46279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46279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44906</v>
      </c>
      <c r="E69" s="1" t="n">
        <v>46279</v>
      </c>
      <c r="F69" t="inlineStr">
        <is>
          <t>STOCKHOLMS LÄN</t>
        </is>
      </c>
      <c r="G69" t="inlineStr">
        <is>
          <t>UPPLANDS-BRO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44950</v>
      </c>
      <c r="E70" s="1" t="n">
        <v>46279</v>
      </c>
      <c r="F70" t="inlineStr">
        <is>
          <t>STOCKHOLMS LÄN</t>
        </is>
      </c>
      <c r="G70" t="inlineStr">
        <is>
          <t>UPPLANDS-BRO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46279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46279</v>
      </c>
      <c r="F72" t="inlineStr">
        <is>
          <t>STOCKHOLMS LÄN</t>
        </is>
      </c>
      <c r="G72" t="inlineStr">
        <is>
          <t>UPPLANDS-BRO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46279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46226</v>
      </c>
      <c r="E74" s="1" t="n">
        <v>46279</v>
      </c>
      <c r="F74" t="inlineStr">
        <is>
          <t>STOCKHOLMS LÄN</t>
        </is>
      </c>
      <c r="G74" t="inlineStr">
        <is>
          <t>UPPLANDS-BRO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46279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46279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46279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46279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2026-09-14T02:13:04Z</dcterms:created>
  <dcterms:modified xmlns:dcterms="http://purl.org/dc/terms/" xmlns:xsi="http://www.w3.org/2001/XMLSchema-instance" xsi:type="dcterms:W3CDTF">2026-09-14T02:13:05Z</dcterms:modified>
</cp:coreProperties>
</file>