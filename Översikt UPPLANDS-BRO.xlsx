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45933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45933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45933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45933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12354-2025</t>
        </is>
      </c>
      <c r="B6" s="1" t="n">
        <v>45730.36476851852</v>
      </c>
      <c r="C6" s="1" t="n">
        <v>45933</v>
      </c>
      <c r="D6" t="inlineStr">
        <is>
          <t>STOCKHOLMS LÄN</t>
        </is>
      </c>
      <c r="E6" t="inlineStr">
        <is>
          <t>UPPLANDS-BRO</t>
        </is>
      </c>
      <c r="G6" t="n">
        <v>6.9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Nästrot
Nattviol</t>
        </is>
      </c>
      <c r="S6">
        <f>HYPERLINK("https://klasma.github.io/Logging_0139/artfynd/A 12354-2025 artfynd.xlsx", "A 12354-2025")</f>
        <v/>
      </c>
      <c r="T6">
        <f>HYPERLINK("https://klasma.github.io/Logging_0139/kartor/A 12354-2025 karta.png", "A 12354-2025")</f>
        <v/>
      </c>
      <c r="V6">
        <f>HYPERLINK("https://klasma.github.io/Logging_0139/klagomål/A 12354-2025 FSC-klagomål.docx", "A 12354-2025")</f>
        <v/>
      </c>
      <c r="W6">
        <f>HYPERLINK("https://klasma.github.io/Logging_0139/klagomålsmail/A 12354-2025 FSC-klagomål mail.docx", "A 12354-2025")</f>
        <v/>
      </c>
      <c r="X6">
        <f>HYPERLINK("https://klasma.github.io/Logging_0139/tillsyn/A 12354-2025 tillsynsbegäran.docx", "A 12354-2025")</f>
        <v/>
      </c>
      <c r="Y6">
        <f>HYPERLINK("https://klasma.github.io/Logging_0139/tillsynsmail/A 12354-2025 tillsynsbegäran mail.docx", "A 12354-2025")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45933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45933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45933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12390-2025</t>
        </is>
      </c>
      <c r="B10" s="1" t="n">
        <v>45730.39577546297</v>
      </c>
      <c r="C10" s="1" t="n">
        <v>45933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Nattviol</t>
        </is>
      </c>
      <c r="S10">
        <f>HYPERLINK("https://klasma.github.io/Logging_0139/artfynd/A 12390-2025 artfynd.xlsx", "A 12390-2025")</f>
        <v/>
      </c>
      <c r="T10">
        <f>HYPERLINK("https://klasma.github.io/Logging_0139/kartor/A 12390-2025 karta.png", "A 12390-2025")</f>
        <v/>
      </c>
      <c r="V10">
        <f>HYPERLINK("https://klasma.github.io/Logging_0139/klagomål/A 12390-2025 FSC-klagomål.docx", "A 12390-2025")</f>
        <v/>
      </c>
      <c r="W10">
        <f>HYPERLINK("https://klasma.github.io/Logging_0139/klagomålsmail/A 12390-2025 FSC-klagomål mail.docx", "A 12390-2025")</f>
        <v/>
      </c>
      <c r="X10">
        <f>HYPERLINK("https://klasma.github.io/Logging_0139/tillsyn/A 12390-2025 tillsynsbegäran.docx", "A 12390-2025")</f>
        <v/>
      </c>
      <c r="Y10">
        <f>HYPERLINK("https://klasma.github.io/Logging_0139/tillsynsmail/A 12390-2025 tillsynsbegäran mail.docx", "A 12390-2025")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45933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45933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45933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45933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45933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45933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45933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45933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45933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45933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45933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45933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45933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45933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45933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45933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45933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45933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45933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45933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45933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45933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67275-2020</t>
        </is>
      </c>
      <c r="B33" s="1" t="n">
        <v>44181</v>
      </c>
      <c r="C33" s="1" t="n">
        <v>45933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45933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27313-2023</t>
        </is>
      </c>
      <c r="B35" s="1" t="n">
        <v>45096</v>
      </c>
      <c r="C35" s="1" t="n">
        <v>45933</v>
      </c>
      <c r="D35" t="inlineStr">
        <is>
          <t>STOCKHOLMS LÄN</t>
        </is>
      </c>
      <c r="E35" t="inlineStr">
        <is>
          <t>UPPLANDS-BRO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24308-2021</t>
        </is>
      </c>
      <c r="B36" s="1" t="n">
        <v>44336</v>
      </c>
      <c r="C36" s="1" t="n">
        <v>45933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45933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59377-2024</t>
        </is>
      </c>
      <c r="B38" s="1" t="n">
        <v>45638.35164351852</v>
      </c>
      <c r="C38" s="1" t="n">
        <v>45933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45933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12892-2025</t>
        </is>
      </c>
      <c r="B40" s="1" t="n">
        <v>45733</v>
      </c>
      <c r="C40" s="1" t="n">
        <v>45933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45933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45933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56756-2021</t>
        </is>
      </c>
      <c r="B43" s="1" t="n">
        <v>44481</v>
      </c>
      <c r="C43" s="1" t="n">
        <v>45933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46438-2023</t>
        </is>
      </c>
      <c r="B44" s="1" t="n">
        <v>45197</v>
      </c>
      <c r="C44" s="1" t="n">
        <v>45933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45933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40514-2021</t>
        </is>
      </c>
      <c r="B46" s="1" t="n">
        <v>44420</v>
      </c>
      <c r="C46" s="1" t="n">
        <v>45933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10910-2025</t>
        </is>
      </c>
      <c r="B47" s="1" t="n">
        <v>45722</v>
      </c>
      <c r="C47" s="1" t="n">
        <v>45933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51587-2023</t>
        </is>
      </c>
      <c r="B48" s="1" t="n">
        <v>45215</v>
      </c>
      <c r="C48" s="1" t="n">
        <v>45933</v>
      </c>
      <c r="D48" t="inlineStr">
        <is>
          <t>STOCKHOLMS LÄN</t>
        </is>
      </c>
      <c r="E48" t="inlineStr">
        <is>
          <t>UPPLANDS-BRO</t>
        </is>
      </c>
      <c r="F48" t="inlineStr">
        <is>
          <t>Allmännings- och besparingsskogar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45933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5264-2023</t>
        </is>
      </c>
      <c r="B50" s="1" t="n">
        <v>44959</v>
      </c>
      <c r="C50" s="1" t="n">
        <v>45933</v>
      </c>
      <c r="D50" t="inlineStr">
        <is>
          <t>STOCKHOLMS LÄN</t>
        </is>
      </c>
      <c r="E50" t="inlineStr">
        <is>
          <t>UPPLANDS-BRO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7110-2025</t>
        </is>
      </c>
      <c r="B51" s="1" t="n">
        <v>45701</v>
      </c>
      <c r="C51" s="1" t="n">
        <v>45933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45933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45933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59848-2022</t>
        </is>
      </c>
      <c r="B54" s="1" t="n">
        <v>44901</v>
      </c>
      <c r="C54" s="1" t="n">
        <v>45933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45933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45933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45933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55541-2020</t>
        </is>
      </c>
      <c r="B58" s="1" t="n">
        <v>44131</v>
      </c>
      <c r="C58" s="1" t="n">
        <v>45933</v>
      </c>
      <c r="D58" t="inlineStr">
        <is>
          <t>STOCKHOLMS LÄN</t>
        </is>
      </c>
      <c r="E58" t="inlineStr">
        <is>
          <t>UPPLANDS-BRO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21560-2021</t>
        </is>
      </c>
      <c r="B59" s="1" t="n">
        <v>44321</v>
      </c>
      <c r="C59" s="1" t="n">
        <v>45933</v>
      </c>
      <c r="D59" t="inlineStr">
        <is>
          <t>STOCKHOLMS LÄN</t>
        </is>
      </c>
      <c r="E59" t="inlineStr">
        <is>
          <t>UPPLANDS-BRO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45933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59844-2022</t>
        </is>
      </c>
      <c r="B61" s="1" t="n">
        <v>44901</v>
      </c>
      <c r="C61" s="1" t="n">
        <v>45933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54222-2023</t>
        </is>
      </c>
      <c r="B62" s="1" t="n">
        <v>45225</v>
      </c>
      <c r="C62" s="1" t="n">
        <v>45933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4338-2023</t>
        </is>
      </c>
      <c r="B63" s="1" t="n">
        <v>44953</v>
      </c>
      <c r="C63" s="1" t="n">
        <v>45933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45933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45933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2602-2024</t>
        </is>
      </c>
      <c r="B66" s="1" t="n">
        <v>45313.73068287037</v>
      </c>
      <c r="C66" s="1" t="n">
        <v>45933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45933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64107-2023</t>
        </is>
      </c>
      <c r="B68" s="1" t="n">
        <v>45279</v>
      </c>
      <c r="C68" s="1" t="n">
        <v>45933</v>
      </c>
      <c r="D68" t="inlineStr">
        <is>
          <t>STOCKHOLMS LÄN</t>
        </is>
      </c>
      <c r="E68" t="inlineStr">
        <is>
          <t>UPPLANDS-BRO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45933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23093-2024</t>
        </is>
      </c>
      <c r="B70" s="1" t="n">
        <v>45450</v>
      </c>
      <c r="C70" s="1" t="n">
        <v>45933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50698-2020</t>
        </is>
      </c>
      <c r="B71" s="1" t="n">
        <v>44111</v>
      </c>
      <c r="C71" s="1" t="n">
        <v>45933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45933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45933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45933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45933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45933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45933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45933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7112-2025</t>
        </is>
      </c>
      <c r="B79" s="1" t="n">
        <v>45701</v>
      </c>
      <c r="C79" s="1" t="n">
        <v>45933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2062-2025</t>
        </is>
      </c>
      <c r="B80" s="1" t="n">
        <v>45671</v>
      </c>
      <c r="C80" s="1" t="n">
        <v>45933</v>
      </c>
      <c r="D80" t="inlineStr">
        <is>
          <t>STOCKHOLMS LÄN</t>
        </is>
      </c>
      <c r="E80" t="inlineStr">
        <is>
          <t>UPPLANDS-BRO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23615-2025</t>
        </is>
      </c>
      <c r="B81" s="1" t="n">
        <v>45792.66532407407</v>
      </c>
      <c r="C81" s="1" t="n">
        <v>45933</v>
      </c>
      <c r="D81" t="inlineStr">
        <is>
          <t>STOCKHOLMS LÄN</t>
        </is>
      </c>
      <c r="E81" t="inlineStr">
        <is>
          <t>UPPLANDS-BRO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23627-2025</t>
        </is>
      </c>
      <c r="B82" s="1" t="n">
        <v>45792.67523148148</v>
      </c>
      <c r="C82" s="1" t="n">
        <v>45933</v>
      </c>
      <c r="D82" t="inlineStr">
        <is>
          <t>STOCKHOLMS LÄN</t>
        </is>
      </c>
      <c r="E82" t="inlineStr">
        <is>
          <t>UPPLANDS-BRO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2025-10-03T12:32:15Z</dcterms:created>
  <dcterms:modified xmlns:dcterms="http://purl.org/dc/terms/" xmlns:xsi="http://www.w3.org/2001/XMLSchema-instance" xsi:type="dcterms:W3CDTF">2025-10-03T12:32:15Z</dcterms:modified>
</cp:coreProperties>
</file>