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46226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46226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46226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46226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46226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46226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46226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46226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46226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53357-2025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45959</v>
      </c>
      <c r="E13" s="1" t="n">
        <v>46226</v>
      </c>
      <c r="F13" t="inlineStr">
        <is>
          <t>STOCKHOLMS LÄN</t>
        </is>
      </c>
      <c r="G13" t="inlineStr">
        <is>
          <t>UPPLANDS-BRO</t>
        </is>
      </c>
      <c r="I13" t="n">
        <v>2.4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0</v>
      </c>
      <c r="V13" s="2" t="inlineStr">
        <is>
          <t>Bombmurkla</t>
        </is>
      </c>
      <c r="W13">
        <f>HYPERLINK("https://klasma.github.io/Logging_0139/artfynd/A 53357-2025 artfynd.xlsx", "A 53357-2025")</f>
        <v/>
      </c>
      <c r="X13">
        <f>HYPERLINK("https://klasma.github.io/Logging_0139/kartor/A 53357-2025 karta.png", "A 53357-2025")</f>
        <v/>
      </c>
      <c r="Y13">
        <f>HYPERLINK("https://klasma.github.io/Logging_0139/kartor_geotiff/A 53357-2025 georefererad karta.tif", "A 53357-2025")</f>
        <v/>
      </c>
      <c r="AA13">
        <f>HYPERLINK("https://klasma.github.io/Logging_0139/klagomål/A 53357-2025 FSC-klagomål.docx", "A 53357-2025")</f>
        <v/>
      </c>
      <c r="AB13">
        <f>HYPERLINK("https://klasma.github.io/Logging_0139/klagomålsmail/A 53357-2025 FSC-klagomål mail.docx", "A 53357-2025")</f>
        <v/>
      </c>
      <c r="AC13">
        <f>HYPERLINK("https://klasma.github.io/Logging_0139/tillsyn/A 53357-2025 tillsynsbegäran.docx", "A 53357-2025")</f>
        <v/>
      </c>
      <c r="AD13">
        <f>HYPERLINK("https://klasma.github.io/Logging_0139/tillsynsmail/A 53357-2025 tillsynsbegäran mail.docx", "A 53357-2025")</f>
        <v/>
      </c>
    </row>
    <row r="14" ht="15" customHeight="1">
      <c r="A14" t="inlineStr">
        <is>
          <t>A 26623-2026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46184</v>
      </c>
      <c r="E14" s="1" t="n">
        <v>46226</v>
      </c>
      <c r="F14" t="inlineStr">
        <is>
          <t>STOCKHOLMS LÄN</t>
        </is>
      </c>
      <c r="G14" t="inlineStr">
        <is>
          <t>UPPLANDS-BRO</t>
        </is>
      </c>
      <c r="I14" t="n">
        <v>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Svartöra</t>
        </is>
      </c>
      <c r="W14">
        <f>HYPERLINK("https://klasma.github.io/Logging_0139/artfynd/A 26623-2026 artfynd.xlsx", "A 26623-2026")</f>
        <v/>
      </c>
      <c r="X14">
        <f>HYPERLINK("https://klasma.github.io/Logging_0139/kartor/A 26623-2026 karta.png", "A 26623-2026")</f>
        <v/>
      </c>
      <c r="Y14">
        <f>HYPERLINK("https://klasma.github.io/Logging_0139/kartor_geotiff/A 26623-2026 georefererad karta.tif", "A 26623-2026")</f>
        <v/>
      </c>
      <c r="AA14">
        <f>HYPERLINK("https://klasma.github.io/Logging_0139/klagomål/A 26623-2026 FSC-klagomål.docx", "A 26623-2026")</f>
        <v/>
      </c>
      <c r="AB14">
        <f>HYPERLINK("https://klasma.github.io/Logging_0139/klagomålsmail/A 26623-2026 FSC-klagomål mail.docx", "A 26623-2026")</f>
        <v/>
      </c>
      <c r="AC14">
        <f>HYPERLINK("https://klasma.github.io/Logging_0139/tillsyn/A 26623-2026 tillsynsbegäran.docx", "A 26623-2026")</f>
        <v/>
      </c>
      <c r="AD14">
        <f>HYPERLINK("https://klasma.github.io/Logging_0139/tillsynsmail/A 26623-2026 tillsynsbegäran mail.docx", "A 26623-2026")</f>
        <v/>
      </c>
    </row>
    <row r="15" ht="15" customHeight="1">
      <c r="A15" t="inlineStr">
        <is>
          <t>A 26637-2026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46226</v>
      </c>
      <c r="F15" t="inlineStr">
        <is>
          <t>STOCKHOLMS LÄN</t>
        </is>
      </c>
      <c r="G15" t="inlineStr">
        <is>
          <t>UPPLANDS-BRO</t>
        </is>
      </c>
      <c r="I15" t="n">
        <v>5.4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HYPERLINK("https://klasma.github.io/Logging_0139/artfynd/A 26637-2026 artfynd.xlsx", "A 26637-2026")</f>
        <v/>
      </c>
      <c r="X15">
        <f>HYPERLINK("https://klasma.github.io/Logging_0139/kartor/A 26637-2026 karta.png", "A 26637-2026")</f>
        <v/>
      </c>
      <c r="Y15">
        <f>HYPERLINK("https://klasma.github.io/Logging_0139/kartor_geotiff/A 26637-2026 georefererad karta.tif", "A 26637-2026")</f>
        <v/>
      </c>
      <c r="AA15">
        <f>HYPERLINK("https://klasma.github.io/Logging_0139/klagomål/A 26637-2026 FSC-klagomål.docx", "A 26637-2026")</f>
        <v/>
      </c>
      <c r="AB15">
        <f>HYPERLINK("https://klasma.github.io/Logging_0139/klagomålsmail/A 26637-2026 FSC-klagomål mail.docx", "A 26637-2026")</f>
        <v/>
      </c>
      <c r="AC15">
        <f>HYPERLINK("https://klasma.github.io/Logging_0139/tillsyn/A 26637-2026 tillsynsbegäran.docx", "A 26637-2026")</f>
        <v/>
      </c>
      <c r="AD15">
        <f>HYPERLINK("https://klasma.github.io/Logging_0139/tillsynsmail/A 26637-2026 tillsynsbegäran mail.docx", "A 26637-2026")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46226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46226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2409-2026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46034</v>
      </c>
      <c r="E18" s="1" t="n">
        <v>46226</v>
      </c>
      <c r="F18" t="inlineStr">
        <is>
          <t>STOCKHOLMS LÄN</t>
        </is>
      </c>
      <c r="G18" t="inlineStr">
        <is>
          <t>UPPLANDS-BRO</t>
        </is>
      </c>
      <c r="I18" t="n">
        <v>14.2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HYPERLINK("https://klasma.github.io/Logging_0139/artfynd/A 2409-2026 artfynd.xlsx", "A 2409-2026")</f>
        <v/>
      </c>
      <c r="X18">
        <f>HYPERLINK("https://klasma.github.io/Logging_0139/kartor/A 2409-2026 karta.png", "A 2409-2026")</f>
        <v/>
      </c>
      <c r="Y18">
        <f>HYPERLINK("https://klasma.github.io/Logging_0139/kartor_geotiff/A 2409-2026 georefererad karta.tif", "A 2409-2026")</f>
        <v/>
      </c>
      <c r="AA18">
        <f>HYPERLINK("https://klasma.github.io/Logging_0139/klagomål/A 2409-2026 FSC-klagomål.docx", "A 2409-2026")</f>
        <v/>
      </c>
      <c r="AB18">
        <f>HYPERLINK("https://klasma.github.io/Logging_0139/klagomålsmail/A 2409-2026 FSC-klagomål mail.docx", "A 2409-2026")</f>
        <v/>
      </c>
      <c r="AC18">
        <f>HYPERLINK("https://klasma.github.io/Logging_0139/tillsyn/A 2409-2026 tillsynsbegäran.docx", "A 2409-2026")</f>
        <v/>
      </c>
      <c r="AD18">
        <f>HYPERLINK("https://klasma.github.io/Logging_0139/tillsynsmail/A 2409-2026 tillsynsbegäran mail.docx", "A 2409-2026")</f>
        <v/>
      </c>
      <c r="AE18">
        <f>HYPERLINK("https://klasma.github.io/Logging_0139/fåglar/A 2409-2026 prioriterade fågelarter.docx", "A 2409-2026")</f>
        <v/>
      </c>
    </row>
    <row r="19" ht="15" customHeight="1">
      <c r="A19" t="inlineStr">
        <is>
          <t>A 11447-2025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45726</v>
      </c>
      <c r="E19" s="1" t="n">
        <v>46226</v>
      </c>
      <c r="F19" t="inlineStr">
        <is>
          <t>STOCKHOLMS LÄN</t>
        </is>
      </c>
      <c r="G19" t="inlineStr">
        <is>
          <t>UPPLANDS-BRO</t>
        </is>
      </c>
      <c r="I19" t="n">
        <v>1.5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Myskbock</t>
        </is>
      </c>
      <c r="W19">
        <f>HYPERLINK("https://klasma.github.io/Logging_0139/artfynd/A 11447-2025 artfynd.xlsx", "A 11447-2025")</f>
        <v/>
      </c>
      <c r="X19">
        <f>HYPERLINK("https://klasma.github.io/Logging_0139/kartor/A 11447-2025 karta.png", "A 11447-2025")</f>
        <v/>
      </c>
      <c r="Y19">
        <f>HYPERLINK("https://klasma.github.io/Logging_0139/kartor_geotiff/A 11447-2025 georefererad karta.tif", "A 11447-2025")</f>
        <v/>
      </c>
      <c r="AA19">
        <f>HYPERLINK("https://klasma.github.io/Logging_0139/klagomål/A 11447-2025 FSC-klagomål.docx", "A 11447-2025")</f>
        <v/>
      </c>
      <c r="AB19">
        <f>HYPERLINK("https://klasma.github.io/Logging_0139/klagomålsmail/A 11447-2025 FSC-klagomål mail.docx", "A 11447-2025")</f>
        <v/>
      </c>
      <c r="AC19">
        <f>HYPERLINK("https://klasma.github.io/Logging_0139/tillsyn/A 11447-2025 tillsynsbegäran.docx", "A 11447-2025")</f>
        <v/>
      </c>
      <c r="AD19">
        <f>HYPERLINK("https://klasma.github.io/Logging_0139/tillsynsmail/A 11447-2025 tillsynsbegäran mail.docx", "A 11447-2025")</f>
        <v/>
      </c>
    </row>
    <row r="20" ht="15" customHeight="1">
      <c r="A20" t="inlineStr">
        <is>
          <t>A 7955-2023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46226</v>
      </c>
      <c r="F20" t="inlineStr">
        <is>
          <t>STOCKHOLMS LÄN</t>
        </is>
      </c>
      <c r="G20" t="inlineStr">
        <is>
          <t>UPPLANDS-BRO</t>
        </is>
      </c>
      <c r="I20" t="n">
        <v>2.9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Bombmurkla</t>
        </is>
      </c>
      <c r="W20">
        <f>HYPERLINK("https://klasma.github.io/Logging_0139/artfynd/A 7955-2023 artfynd.xlsx", "A 7955-2023")</f>
        <v/>
      </c>
      <c r="X20">
        <f>HYPERLINK("https://klasma.github.io/Logging_0139/kartor/A 7955-2023 karta.png", "A 7955-2023")</f>
        <v/>
      </c>
      <c r="Y20">
        <f>HYPERLINK("https://klasma.github.io/Logging_0139/kartor_geotiff/A 7955-2023 georefererad karta.tif", "A 7955-2023")</f>
        <v/>
      </c>
      <c r="AA20">
        <f>HYPERLINK("https://klasma.github.io/Logging_0139/klagomål/A 7955-2023 FSC-klagomål.docx", "A 7955-2023")</f>
        <v/>
      </c>
      <c r="AB20">
        <f>HYPERLINK("https://klasma.github.io/Logging_0139/klagomålsmail/A 7955-2023 FSC-klagomål mail.docx", "A 7955-2023")</f>
        <v/>
      </c>
      <c r="AC20">
        <f>HYPERLINK("https://klasma.github.io/Logging_0139/tillsyn/A 7955-2023 tillsynsbegäran.docx", "A 7955-2023")</f>
        <v/>
      </c>
      <c r="AD20">
        <f>HYPERLINK("https://klasma.github.io/Logging_0139/tillsynsmail/A 7955-2023 tillsynsbegäran mail.docx", "A 7955-2023")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46226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46226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46226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46226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46226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46226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46226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46226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46226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46226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46226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46226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46226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64105-2023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46226</v>
      </c>
      <c r="F34" t="inlineStr">
        <is>
          <t>STOCKHOLMS LÄN</t>
        </is>
      </c>
      <c r="G34" t="inlineStr">
        <is>
          <t>UPPLANDS-BRO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44901</v>
      </c>
      <c r="E35" s="1" t="n">
        <v>46226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45313</v>
      </c>
      <c r="E36" s="1" t="n">
        <v>46226</v>
      </c>
      <c r="F36" t="inlineStr">
        <is>
          <t>STOCKHOLMS LÄN</t>
        </is>
      </c>
      <c r="G36" t="inlineStr">
        <is>
          <t>UPPLANDS-BRO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44950</v>
      </c>
      <c r="E37" s="1" t="n">
        <v>46226</v>
      </c>
      <c r="F37" t="inlineStr">
        <is>
          <t>STOCKHOLMS LÄN</t>
        </is>
      </c>
      <c r="G37" t="inlineStr">
        <is>
          <t>UPPLANDS-BRO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46226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45225</v>
      </c>
      <c r="E39" s="1" t="n">
        <v>46226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8.300000000000001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7860-2024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46226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9655-2026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46226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46226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64114-2023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46226</v>
      </c>
      <c r="F43" t="inlineStr">
        <is>
          <t>STOCKHOLMS LÄN</t>
        </is>
      </c>
      <c r="G43" t="inlineStr">
        <is>
          <t>UPPLANDS-BRO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50294-2023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46226</v>
      </c>
      <c r="F44" t="inlineStr">
        <is>
          <t>STOCKHOLMS LÄN</t>
        </is>
      </c>
      <c r="G44" t="inlineStr">
        <is>
          <t>UPPLANDS-BRO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46226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46128</v>
      </c>
      <c r="E46" s="1" t="n">
        <v>46226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18813-2026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46128</v>
      </c>
      <c r="E47" s="1" t="n">
        <v>46226</v>
      </c>
      <c r="F47" t="inlineStr">
        <is>
          <t>STOCKHOLMS LÄN</t>
        </is>
      </c>
      <c r="G47" t="inlineStr">
        <is>
          <t>UPPLANDS-BRO</t>
        </is>
      </c>
      <c r="H47" t="inlineStr">
        <is>
          <t>Övriga statliga verk och myndigheter</t>
        </is>
      </c>
      <c r="I47" t="n">
        <v>56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18818-2026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46226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46226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46226</v>
      </c>
      <c r="F50" t="inlineStr">
        <is>
          <t>STOCKHOLMS LÄN</t>
        </is>
      </c>
      <c r="G50" t="inlineStr">
        <is>
          <t>UPPLANDS-BRO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46042</v>
      </c>
      <c r="E51" s="1" t="n">
        <v>46226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46226</v>
      </c>
      <c r="F52" t="inlineStr">
        <is>
          <t>STOCKHOLMS LÄN</t>
        </is>
      </c>
      <c r="G52" t="inlineStr">
        <is>
          <t>UPPLANDS-BRO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26625-2026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46226</v>
      </c>
      <c r="F53" t="inlineStr">
        <is>
          <t>STOCKHOLMS LÄN</t>
        </is>
      </c>
      <c r="G53" t="inlineStr">
        <is>
          <t>UPPLANDS-BRO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46226</v>
      </c>
      <c r="F54" t="inlineStr">
        <is>
          <t>STOCKHOLMS LÄN</t>
        </is>
      </c>
      <c r="G54" t="inlineStr">
        <is>
          <t>UPPLANDS-BRO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46226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46226</v>
      </c>
      <c r="F56" t="inlineStr">
        <is>
          <t>STOCKHOLMS LÄN</t>
        </is>
      </c>
      <c r="G56" t="inlineStr">
        <is>
          <t>UPPLANDS-BRO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45450</v>
      </c>
      <c r="E57" s="1" t="n">
        <v>46226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46226</v>
      </c>
      <c r="F58" t="inlineStr">
        <is>
          <t>STOCKHOLMS LÄN</t>
        </is>
      </c>
      <c r="G58" t="inlineStr">
        <is>
          <t>UPPLANDS-BRO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46226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46043</v>
      </c>
      <c r="E60" s="1" t="n">
        <v>46226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44906</v>
      </c>
      <c r="E61" s="1" t="n">
        <v>46226</v>
      </c>
      <c r="F61" t="inlineStr">
        <is>
          <t>STOCKHOLMS LÄN</t>
        </is>
      </c>
      <c r="G61" t="inlineStr">
        <is>
          <t>UPPLANDS-BRO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46226</v>
      </c>
      <c r="F62" t="inlineStr">
        <is>
          <t>STOCKHOLMS LÄN</t>
        </is>
      </c>
      <c r="G62" t="inlineStr">
        <is>
          <t>UPPLANDS-BRO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46226</v>
      </c>
      <c r="F63" t="inlineStr">
        <is>
          <t>STOCKHOLMS LÄN</t>
        </is>
      </c>
      <c r="G63" t="inlineStr">
        <is>
          <t>UPPLANDS-BRO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46226</v>
      </c>
      <c r="F64" t="inlineStr">
        <is>
          <t>STOCKHOLMS LÄN</t>
        </is>
      </c>
      <c r="G64" t="inlineStr">
        <is>
          <t>UPPLANDS-BRO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44959</v>
      </c>
      <c r="E65" s="1" t="n">
        <v>46226</v>
      </c>
      <c r="F65" t="inlineStr">
        <is>
          <t>STOCKHOLMS LÄN</t>
        </is>
      </c>
      <c r="G65" t="inlineStr">
        <is>
          <t>UPPLANDS-BRO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24579-2026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46170</v>
      </c>
      <c r="E66" s="1" t="n">
        <v>46226</v>
      </c>
      <c r="F66" t="inlineStr">
        <is>
          <t>STOCKHOLMS LÄN</t>
        </is>
      </c>
      <c r="G66" t="inlineStr">
        <is>
          <t>UPPLANDS-BRO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46226</v>
      </c>
      <c r="F67" t="inlineStr">
        <is>
          <t>STOCKHOLMS LÄN</t>
        </is>
      </c>
      <c r="G67" t="inlineStr">
        <is>
          <t>UPPLANDS-BRO</t>
        </is>
      </c>
      <c r="H67" t="inlineStr">
        <is>
          <t>Allmännings- och besparingsskogar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31160-2022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44770</v>
      </c>
      <c r="E68" s="1" t="n">
        <v>46226</v>
      </c>
      <c r="F68" t="inlineStr">
        <is>
          <t>STOCKHOLMS LÄN</t>
        </is>
      </c>
      <c r="G68" t="inlineStr">
        <is>
          <t>UPPLANDS-BRO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45986</v>
      </c>
      <c r="E69" s="1" t="n">
        <v>46226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26196-2026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46182</v>
      </c>
      <c r="E70" s="1" t="n">
        <v>46226</v>
      </c>
      <c r="F70" t="inlineStr">
        <is>
          <t>STOCKHOLMS LÄN</t>
        </is>
      </c>
      <c r="G70" t="inlineStr">
        <is>
          <t>UPPLANDS-BRO</t>
        </is>
      </c>
      <c r="I70" t="n">
        <v>53.1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72524-2021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46226</v>
      </c>
      <c r="F71" t="inlineStr">
        <is>
          <t>STOCKHOLMS LÄN</t>
        </is>
      </c>
      <c r="G71" t="inlineStr">
        <is>
          <t>UPPLANDS-BRO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46226</v>
      </c>
      <c r="F72" t="inlineStr">
        <is>
          <t>STOCKHOLMS LÄN</t>
        </is>
      </c>
      <c r="G72" t="inlineStr">
        <is>
          <t>UPPLANDS-BRO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44901</v>
      </c>
      <c r="E73" s="1" t="n">
        <v>46226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10.7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59700-2021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46226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44420</v>
      </c>
      <c r="E75" s="1" t="n">
        <v>46226</v>
      </c>
      <c r="F75" t="inlineStr">
        <is>
          <t>STOCKHOLMS LÄN</t>
        </is>
      </c>
      <c r="G75" t="inlineStr">
        <is>
          <t>UPPLANDS-BRO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46226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9.6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64107-2023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45279</v>
      </c>
      <c r="E77" s="1" t="n">
        <v>46226</v>
      </c>
      <c r="F77" t="inlineStr">
        <is>
          <t>STOCKHOLMS LÄN</t>
        </is>
      </c>
      <c r="G77" t="inlineStr">
        <is>
          <t>UPPLANDS-BRO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45701</v>
      </c>
      <c r="E78" s="1" t="n">
        <v>46226</v>
      </c>
      <c r="F78" t="inlineStr">
        <is>
          <t>STOCKHOLMS LÄN</t>
        </is>
      </c>
      <c r="G78" t="inlineStr">
        <is>
          <t>UPPLANDS-BRO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46226</v>
      </c>
      <c r="F79" t="inlineStr">
        <is>
          <t>STOCKHOLMS LÄN</t>
        </is>
      </c>
      <c r="G79" t="inlineStr">
        <is>
          <t>UPPLANDS-BRO</t>
        </is>
      </c>
      <c r="H79" t="inlineStr">
        <is>
          <t>Övriga statliga verk och myndigheter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46226</v>
      </c>
      <c r="F80" t="inlineStr">
        <is>
          <t>STOCKHOLMS LÄN</t>
        </is>
      </c>
      <c r="G80" t="inlineStr">
        <is>
          <t>UPPLANDS-BRO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46226</v>
      </c>
      <c r="F81" t="inlineStr">
        <is>
          <t>STOCKHOLMS LÄN</t>
        </is>
      </c>
      <c r="G81" t="inlineStr">
        <is>
          <t>UPPLANDS-BRO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10447-2021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44558</v>
      </c>
      <c r="E82" s="1" t="n">
        <v>46226</v>
      </c>
      <c r="F82" t="inlineStr">
        <is>
          <t>STOCKHOLMS LÄN</t>
        </is>
      </c>
      <c r="G82" t="inlineStr">
        <is>
          <t>UPPLANDS-BRO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2026-07-23T01:42:57Z</dcterms:created>
  <dcterms:modified xmlns:dcterms="http://purl.org/dc/terms/" xmlns:xsi="http://www.w3.org/2001/XMLSchema-instance" xsi:type="dcterms:W3CDTF">2026-07-23T01:42:57Z</dcterms:modified>
</cp:coreProperties>
</file>