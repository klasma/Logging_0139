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45999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45999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45999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45999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11447-2025</t>
        </is>
      </c>
      <c r="B12" s="1" t="n">
        <v>45726</v>
      </c>
      <c r="C12" s="1" t="n">
        <v>45999</v>
      </c>
      <c r="D12" t="inlineStr">
        <is>
          <t>STOCKHOLMS LÄN</t>
        </is>
      </c>
      <c r="E12" t="inlineStr">
        <is>
          <t>UPPLANDS-BRO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HYPERLINK("https://klasma.github.io/Logging_0139/artfynd/A 11447-2025 artfynd.xlsx", "A 11447-2025")</f>
        <v/>
      </c>
      <c r="T12">
        <f>HYPERLINK("https://klasma.github.io/Logging_0139/kartor/A 11447-2025 karta.png", "A 11447-2025")</f>
        <v/>
      </c>
      <c r="V12">
        <f>HYPERLINK("https://klasma.github.io/Logging_0139/klagomål/A 11447-2025 FSC-klagomål.docx", "A 11447-2025")</f>
        <v/>
      </c>
      <c r="W12">
        <f>HYPERLINK("https://klasma.github.io/Logging_0139/klagomålsmail/A 11447-2025 FSC-klagomål mail.docx", "A 11447-2025")</f>
        <v/>
      </c>
      <c r="X12">
        <f>HYPERLINK("https://klasma.github.io/Logging_0139/tillsyn/A 11447-2025 tillsynsbegäran.docx", "A 11447-2025")</f>
        <v/>
      </c>
      <c r="Y12">
        <f>HYPERLINK("https://klasma.github.io/Logging_0139/tillsynsmail/A 11447-2025 tillsynsbegäran mail.docx", "A 11447-2025")</f>
        <v/>
      </c>
    </row>
    <row r="13" ht="15" customHeight="1">
      <c r="A13" t="inlineStr">
        <is>
          <t>A 64098-2023</t>
        </is>
      </c>
      <c r="B13" s="1" t="n">
        <v>45279</v>
      </c>
      <c r="C13" s="1" t="n">
        <v>45999</v>
      </c>
      <c r="D13" t="inlineStr">
        <is>
          <t>STOCKHOLMS LÄN</t>
        </is>
      </c>
      <c r="E13" t="inlineStr">
        <is>
          <t>UPPLANDS-BRO</t>
        </is>
      </c>
      <c r="G13" t="n">
        <v>0.3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Skogsalmsdvärgmal</t>
        </is>
      </c>
      <c r="S13">
        <f>HYPERLINK("https://klasma.github.io/Logging_0139/artfynd/A 64098-2023 artfynd.xlsx", "A 64098-2023")</f>
        <v/>
      </c>
      <c r="T13">
        <f>HYPERLINK("https://klasma.github.io/Logging_0139/kartor/A 64098-2023 karta.png", "A 64098-2023")</f>
        <v/>
      </c>
      <c r="V13">
        <f>HYPERLINK("https://klasma.github.io/Logging_0139/klagomål/A 64098-2023 FSC-klagomål.docx", "A 64098-2023")</f>
        <v/>
      </c>
      <c r="W13">
        <f>HYPERLINK("https://klasma.github.io/Logging_0139/klagomålsmail/A 64098-2023 FSC-klagomål mail.docx", "A 64098-2023")</f>
        <v/>
      </c>
      <c r="X13">
        <f>HYPERLINK("https://klasma.github.io/Logging_0139/tillsyn/A 64098-2023 tillsynsbegäran.docx", "A 64098-2023")</f>
        <v/>
      </c>
      <c r="Y13">
        <f>HYPERLINK("https://klasma.github.io/Logging_0139/tillsynsmail/A 64098-2023 tillsynsbegäran mail.docx", "A 64098-2023")</f>
        <v/>
      </c>
    </row>
    <row r="14" ht="15" customHeight="1">
      <c r="A14" t="inlineStr">
        <is>
          <t>A 73773-2021</t>
        </is>
      </c>
      <c r="B14" s="1" t="n">
        <v>44552</v>
      </c>
      <c r="C14" s="1" t="n">
        <v>45999</v>
      </c>
      <c r="D14" t="inlineStr">
        <is>
          <t>STOCKHOLMS LÄN</t>
        </is>
      </c>
      <c r="E14" t="inlineStr">
        <is>
          <t>UPPLANDS-BRO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HYPERLINK("https://klasma.github.io/Logging_0139/artfynd/A 73773-2021 artfynd.xlsx", "A 73773-2021")</f>
        <v/>
      </c>
      <c r="T14">
        <f>HYPERLINK("https://klasma.github.io/Logging_0139/kartor/A 73773-2021 karta.png", "A 73773-2021")</f>
        <v/>
      </c>
      <c r="V14">
        <f>HYPERLINK("https://klasma.github.io/Logging_0139/klagomål/A 73773-2021 FSC-klagomål.docx", "A 73773-2021")</f>
        <v/>
      </c>
      <c r="W14">
        <f>HYPERLINK("https://klasma.github.io/Logging_0139/klagomålsmail/A 73773-2021 FSC-klagomål mail.docx", "A 73773-2021")</f>
        <v/>
      </c>
      <c r="X14">
        <f>HYPERLINK("https://klasma.github.io/Logging_0139/tillsyn/A 73773-2021 tillsynsbegäran.docx", "A 73773-2021")</f>
        <v/>
      </c>
      <c r="Y14">
        <f>HYPERLINK("https://klasma.github.io/Logging_0139/tillsynsmail/A 73773-2021 tillsynsbegäran mail.docx", "A 73773-2021")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45999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53357-2025</t>
        </is>
      </c>
      <c r="B16" s="1" t="n">
        <v>45959.46942129629</v>
      </c>
      <c r="C16" s="1" t="n">
        <v>45999</v>
      </c>
      <c r="D16" t="inlineStr">
        <is>
          <t>STOCKHOLMS LÄN</t>
        </is>
      </c>
      <c r="E16" t="inlineStr">
        <is>
          <t>UPPLANDS-BRO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53357-2025 artfynd.xlsx", "A 53357-2025")</f>
        <v/>
      </c>
      <c r="T16">
        <f>HYPERLINK("https://klasma.github.io/Logging_0139/kartor/A 53357-2025 karta.png", "A 53357-2025")</f>
        <v/>
      </c>
      <c r="V16">
        <f>HYPERLINK("https://klasma.github.io/Logging_0139/klagomål/A 53357-2025 FSC-klagomål.docx", "A 53357-2025")</f>
        <v/>
      </c>
      <c r="W16">
        <f>HYPERLINK("https://klasma.github.io/Logging_0139/klagomålsmail/A 53357-2025 FSC-klagomål mail.docx", "A 53357-2025")</f>
        <v/>
      </c>
      <c r="X16">
        <f>HYPERLINK("https://klasma.github.io/Logging_0139/tillsyn/A 53357-2025 tillsynsbegäran.docx", "A 53357-2025")</f>
        <v/>
      </c>
      <c r="Y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s="1" t="n">
        <v>45450</v>
      </c>
      <c r="C17" s="1" t="n">
        <v>45999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Bredbrämad bastardsvärmare</t>
        </is>
      </c>
      <c r="S17">
        <f>HYPERLINK("https://klasma.github.io/Logging_0139/artfynd/A 23099-2024 artfynd.xlsx", "A 23099-2024")</f>
        <v/>
      </c>
      <c r="T17">
        <f>HYPERLINK("https://klasma.github.io/Logging_0139/kartor/A 23099-2024 karta.png", "A 23099-2024")</f>
        <v/>
      </c>
      <c r="V17">
        <f>HYPERLINK("https://klasma.github.io/Logging_0139/klagomål/A 23099-2024 FSC-klagomål.docx", "A 23099-2024")</f>
        <v/>
      </c>
      <c r="W17">
        <f>HYPERLINK("https://klasma.github.io/Logging_0139/klagomålsmail/A 23099-2024 FSC-klagomål mail.docx", "A 23099-2024")</f>
        <v/>
      </c>
      <c r="X17">
        <f>HYPERLINK("https://klasma.github.io/Logging_0139/tillsyn/A 23099-2024 tillsynsbegäran.docx", "A 23099-2024")</f>
        <v/>
      </c>
      <c r="Y17">
        <f>HYPERLINK("https://klasma.github.io/Logging_0139/tillsynsmail/A 23099-2024 tillsynsbegäran mail.docx", "A 23099-2024")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45999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45999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45999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3838-2022</t>
        </is>
      </c>
      <c r="B25" s="1" t="n">
        <v>44587.37274305556</v>
      </c>
      <c r="C25" s="1" t="n">
        <v>45999</v>
      </c>
      <c r="D25" t="inlineStr">
        <is>
          <t>STOCKHOLMS LÄN</t>
        </is>
      </c>
      <c r="E25" t="inlineStr">
        <is>
          <t>UPPLANDS-BRO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36111-2021</t>
        </is>
      </c>
      <c r="B26" s="1" t="n">
        <v>44389.5421875</v>
      </c>
      <c r="C26" s="1" t="n">
        <v>45999</v>
      </c>
      <c r="D26" t="inlineStr">
        <is>
          <t>STOCKHOLMS LÄN</t>
        </is>
      </c>
      <c r="E26" t="inlineStr">
        <is>
          <t>UPPLANDS-BRO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67286-2020</t>
        </is>
      </c>
      <c r="B27" s="1" t="n">
        <v>44181</v>
      </c>
      <c r="C27" s="1" t="n">
        <v>45999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46244-2021</t>
        </is>
      </c>
      <c r="B28" s="1" t="n">
        <v>44442</v>
      </c>
      <c r="C28" s="1" t="n">
        <v>45999</v>
      </c>
      <c r="D28" t="inlineStr">
        <is>
          <t>STOCKHOLMS LÄN</t>
        </is>
      </c>
      <c r="E28" t="inlineStr">
        <is>
          <t>UPPLANDS-BRO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20604-2022</t>
        </is>
      </c>
      <c r="B29" s="1" t="n">
        <v>44700.46938657408</v>
      </c>
      <c r="C29" s="1" t="n">
        <v>45999</v>
      </c>
      <c r="D29" t="inlineStr">
        <is>
          <t>STOCKHOLMS LÄN</t>
        </is>
      </c>
      <c r="E29" t="inlineStr">
        <is>
          <t>UPPLANDS-BRO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45999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45999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45999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21560-2021</t>
        </is>
      </c>
      <c r="B33" s="1" t="n">
        <v>44321</v>
      </c>
      <c r="C33" s="1" t="n">
        <v>45999</v>
      </c>
      <c r="D33" t="inlineStr">
        <is>
          <t>STOCKHOLMS LÄN</t>
        </is>
      </c>
      <c r="E33" t="inlineStr">
        <is>
          <t>UPPLANDS-BRO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56756-2021</t>
        </is>
      </c>
      <c r="B34" s="1" t="n">
        <v>44481</v>
      </c>
      <c r="C34" s="1" t="n">
        <v>45999</v>
      </c>
      <c r="D34" t="inlineStr">
        <is>
          <t>STOCKHOLMS LÄN</t>
        </is>
      </c>
      <c r="E34" t="inlineStr">
        <is>
          <t>UPPLANDS-BRO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59844-2022</t>
        </is>
      </c>
      <c r="B35" s="1" t="n">
        <v>44901</v>
      </c>
      <c r="C35" s="1" t="n">
        <v>45999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54222-2023</t>
        </is>
      </c>
      <c r="B36" s="1" t="n">
        <v>45225</v>
      </c>
      <c r="C36" s="1" t="n">
        <v>45999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8.300000000000001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40514-2021</t>
        </is>
      </c>
      <c r="B37" s="1" t="n">
        <v>44420</v>
      </c>
      <c r="C37" s="1" t="n">
        <v>45999</v>
      </c>
      <c r="D37" t="inlineStr">
        <is>
          <t>STOCKHOLMS LÄN</t>
        </is>
      </c>
      <c r="E37" t="inlineStr">
        <is>
          <t>UPPLANDS-BRO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55586-2023</t>
        </is>
      </c>
      <c r="B38" s="1" t="n">
        <v>45232</v>
      </c>
      <c r="C38" s="1" t="n">
        <v>45999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38.9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59700-2021</t>
        </is>
      </c>
      <c r="B39" s="1" t="n">
        <v>44494</v>
      </c>
      <c r="C39" s="1" t="n">
        <v>45999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31160-2022</t>
        </is>
      </c>
      <c r="B40" s="1" t="n">
        <v>44770</v>
      </c>
      <c r="C40" s="1" t="n">
        <v>45999</v>
      </c>
      <c r="D40" t="inlineStr">
        <is>
          <t>STOCKHOLMS LÄN</t>
        </is>
      </c>
      <c r="E40" t="inlineStr">
        <is>
          <t>UPPLANDS-BRO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4338-2023</t>
        </is>
      </c>
      <c r="B41" s="1" t="n">
        <v>44953</v>
      </c>
      <c r="C41" s="1" t="n">
        <v>45999</v>
      </c>
      <c r="D41" t="inlineStr">
        <is>
          <t>STOCKHOLMS LÄN</t>
        </is>
      </c>
      <c r="E41" t="inlineStr">
        <is>
          <t>UPPLANDS-BRO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59848-2022</t>
        </is>
      </c>
      <c r="B42" s="1" t="n">
        <v>44901</v>
      </c>
      <c r="C42" s="1" t="n">
        <v>45999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58011-2021</t>
        </is>
      </c>
      <c r="B43" s="1" t="n">
        <v>44487</v>
      </c>
      <c r="C43" s="1" t="n">
        <v>45999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72524-2021</t>
        </is>
      </c>
      <c r="B44" s="1" t="n">
        <v>44546</v>
      </c>
      <c r="C44" s="1" t="n">
        <v>45999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49622-2021</t>
        </is>
      </c>
      <c r="B45" s="1" t="n">
        <v>44455</v>
      </c>
      <c r="C45" s="1" t="n">
        <v>45999</v>
      </c>
      <c r="D45" t="inlineStr">
        <is>
          <t>STOCKHOLMS LÄN</t>
        </is>
      </c>
      <c r="E45" t="inlineStr">
        <is>
          <t>UPPLANDS-BRO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64110-2023</t>
        </is>
      </c>
      <c r="B46" s="1" t="n">
        <v>45279</v>
      </c>
      <c r="C46" s="1" t="n">
        <v>45999</v>
      </c>
      <c r="D46" t="inlineStr">
        <is>
          <t>STOCKHOLMS LÄN</t>
        </is>
      </c>
      <c r="E46" t="inlineStr">
        <is>
          <t>UPPLANDS-BRO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64107-2023</t>
        </is>
      </c>
      <c r="B47" s="1" t="n">
        <v>45279</v>
      </c>
      <c r="C47" s="1" t="n">
        <v>45999</v>
      </c>
      <c r="D47" t="inlineStr">
        <is>
          <t>STOCKHOLMS LÄN</t>
        </is>
      </c>
      <c r="E47" t="inlineStr">
        <is>
          <t>UPPLANDS-BRO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23093-2024</t>
        </is>
      </c>
      <c r="B48" s="1" t="n">
        <v>45450</v>
      </c>
      <c r="C48" s="1" t="n">
        <v>45999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14719-2022</t>
        </is>
      </c>
      <c r="B49" s="1" t="n">
        <v>44655</v>
      </c>
      <c r="C49" s="1" t="n">
        <v>45999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27313-2023</t>
        </is>
      </c>
      <c r="B50" s="1" t="n">
        <v>45096</v>
      </c>
      <c r="C50" s="1" t="n">
        <v>45999</v>
      </c>
      <c r="D50" t="inlineStr">
        <is>
          <t>STOCKHOLMS LÄN</t>
        </is>
      </c>
      <c r="E50" t="inlineStr">
        <is>
          <t>UPPLANDS-BRO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59377-2024</t>
        </is>
      </c>
      <c r="B51" s="1" t="n">
        <v>45638.35164351852</v>
      </c>
      <c r="C51" s="1" t="n">
        <v>45999</v>
      </c>
      <c r="D51" t="inlineStr">
        <is>
          <t>STOCKHOLMS LÄN</t>
        </is>
      </c>
      <c r="E51" t="inlineStr">
        <is>
          <t>UPPLANDS-BRO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7275-2022</t>
        </is>
      </c>
      <c r="B52" s="1" t="n">
        <v>44606</v>
      </c>
      <c r="C52" s="1" t="n">
        <v>45999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2602-2024</t>
        </is>
      </c>
      <c r="B53" s="1" t="n">
        <v>45313.73068287037</v>
      </c>
      <c r="C53" s="1" t="n">
        <v>45999</v>
      </c>
      <c r="D53" t="inlineStr">
        <is>
          <t>STOCKHOLMS LÄN</t>
        </is>
      </c>
      <c r="E53" t="inlineStr">
        <is>
          <t>UPPLANDS-BRO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7112-2025</t>
        </is>
      </c>
      <c r="B54" s="1" t="n">
        <v>45701</v>
      </c>
      <c r="C54" s="1" t="n">
        <v>45999</v>
      </c>
      <c r="D54" t="inlineStr">
        <is>
          <t>STOCKHOLMS LÄN</t>
        </is>
      </c>
      <c r="E54" t="inlineStr">
        <is>
          <t>UPPLANDS-BRO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59402-2022</t>
        </is>
      </c>
      <c r="B55" s="1" t="n">
        <v>44906</v>
      </c>
      <c r="C55" s="1" t="n">
        <v>45999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3630-2023</t>
        </is>
      </c>
      <c r="B56" s="1" t="n">
        <v>44950</v>
      </c>
      <c r="C56" s="1" t="n">
        <v>45999</v>
      </c>
      <c r="D56" t="inlineStr">
        <is>
          <t>STOCKHOLMS LÄN</t>
        </is>
      </c>
      <c r="E56" t="inlineStr">
        <is>
          <t>UPPLANDS-BRO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7860-2024</t>
        </is>
      </c>
      <c r="B57" s="1" t="n">
        <v>45348</v>
      </c>
      <c r="C57" s="1" t="n">
        <v>45999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64105-2023</t>
        </is>
      </c>
      <c r="B58" s="1" t="n">
        <v>45279</v>
      </c>
      <c r="C58" s="1" t="n">
        <v>45999</v>
      </c>
      <c r="D58" t="inlineStr">
        <is>
          <t>STOCKHOLMS LÄN</t>
        </is>
      </c>
      <c r="E58" t="inlineStr">
        <is>
          <t>UPPLANDS-BRO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45999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64114-2023</t>
        </is>
      </c>
      <c r="B60" s="1" t="n">
        <v>45279</v>
      </c>
      <c r="C60" s="1" t="n">
        <v>45999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12378-2025</t>
        </is>
      </c>
      <c r="B61" s="1" t="n">
        <v>45730.38032407407</v>
      </c>
      <c r="C61" s="1" t="n">
        <v>45999</v>
      </c>
      <c r="D61" t="inlineStr">
        <is>
          <t>STOCKHOLMS LÄN</t>
        </is>
      </c>
      <c r="E61" t="inlineStr">
        <is>
          <t>UPPLANDS-BRO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45999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10935-2025</t>
        </is>
      </c>
      <c r="B63" s="1" t="n">
        <v>45722</v>
      </c>
      <c r="C63" s="1" t="n">
        <v>45999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38902-2024</t>
        </is>
      </c>
      <c r="B64" s="1" t="n">
        <v>45547</v>
      </c>
      <c r="C64" s="1" t="n">
        <v>45999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50294-2023</t>
        </is>
      </c>
      <c r="B65" s="1" t="n">
        <v>45216</v>
      </c>
      <c r="C65" s="1" t="n">
        <v>45999</v>
      </c>
      <c r="D65" t="inlineStr">
        <is>
          <t>STOCKHOLMS LÄN</t>
        </is>
      </c>
      <c r="E65" t="inlineStr">
        <is>
          <t>UPPLANDS-BRO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2062-2025</t>
        </is>
      </c>
      <c r="B66" s="1" t="n">
        <v>45671</v>
      </c>
      <c r="C66" s="1" t="n">
        <v>45999</v>
      </c>
      <c r="D66" t="inlineStr">
        <is>
          <t>STOCKHOLMS LÄN</t>
        </is>
      </c>
      <c r="E66" t="inlineStr">
        <is>
          <t>UPPLANDS-BRO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23615-2025</t>
        </is>
      </c>
      <c r="B67" s="1" t="n">
        <v>45792.66532407407</v>
      </c>
      <c r="C67" s="1" t="n">
        <v>45999</v>
      </c>
      <c r="D67" t="inlineStr">
        <is>
          <t>STOCKHOLMS LÄN</t>
        </is>
      </c>
      <c r="E67" t="inlineStr">
        <is>
          <t>UPPLANDS-BRO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23627-2025</t>
        </is>
      </c>
      <c r="B68" s="1" t="n">
        <v>45792.67523148148</v>
      </c>
      <c r="C68" s="1" t="n">
        <v>45999</v>
      </c>
      <c r="D68" t="inlineStr">
        <is>
          <t>STOCKHOLMS LÄN</t>
        </is>
      </c>
      <c r="E68" t="inlineStr">
        <is>
          <t>UPPLANDS-BRO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12363-2025</t>
        </is>
      </c>
      <c r="B69" s="1" t="n">
        <v>45730.37431712963</v>
      </c>
      <c r="C69" s="1" t="n">
        <v>45999</v>
      </c>
      <c r="D69" t="inlineStr">
        <is>
          <t>STOCKHOLMS LÄN</t>
        </is>
      </c>
      <c r="E69" t="inlineStr">
        <is>
          <t>UPPLANDS-BRO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46438-2023</t>
        </is>
      </c>
      <c r="B70" s="1" t="n">
        <v>45197</v>
      </c>
      <c r="C70" s="1" t="n">
        <v>45999</v>
      </c>
      <c r="D70" t="inlineStr">
        <is>
          <t>STOCKHOLMS LÄN</t>
        </is>
      </c>
      <c r="E70" t="inlineStr">
        <is>
          <t>UPPLANDS-BRO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58598-2025</t>
        </is>
      </c>
      <c r="B71" s="1" t="n">
        <v>45986</v>
      </c>
      <c r="C71" s="1" t="n">
        <v>45999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65954-2020</t>
        </is>
      </c>
      <c r="B72" s="1" t="n">
        <v>44175</v>
      </c>
      <c r="C72" s="1" t="n">
        <v>45999</v>
      </c>
      <c r="D72" t="inlineStr">
        <is>
          <t>STOCKHOLMS LÄN</t>
        </is>
      </c>
      <c r="E72" t="inlineStr">
        <is>
          <t>UPPLANDS-BRO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10910-2025</t>
        </is>
      </c>
      <c r="B73" s="1" t="n">
        <v>45722</v>
      </c>
      <c r="C73" s="1" t="n">
        <v>45999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12372-2025</t>
        </is>
      </c>
      <c r="B74" s="1" t="n">
        <v>45730.37740740741</v>
      </c>
      <c r="C74" s="1" t="n">
        <v>45999</v>
      </c>
      <c r="D74" t="inlineStr">
        <is>
          <t>STOCKHOLMS LÄN</t>
        </is>
      </c>
      <c r="E74" t="inlineStr">
        <is>
          <t>UPPLANDS-BRO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5264-2023</t>
        </is>
      </c>
      <c r="B75" s="1" t="n">
        <v>44959</v>
      </c>
      <c r="C75" s="1" t="n">
        <v>45999</v>
      </c>
      <c r="D75" t="inlineStr">
        <is>
          <t>STOCKHOLMS LÄN</t>
        </is>
      </c>
      <c r="E75" t="inlineStr">
        <is>
          <t>UPPLANDS-BRO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7110-2025</t>
        </is>
      </c>
      <c r="B76" s="1" t="n">
        <v>45701</v>
      </c>
      <c r="C76" s="1" t="n">
        <v>45999</v>
      </c>
      <c r="D76" t="inlineStr">
        <is>
          <t>STOCKHOLMS LÄN</t>
        </is>
      </c>
      <c r="E76" t="inlineStr">
        <is>
          <t>UPPLANDS-BRO</t>
        </is>
      </c>
      <c r="F76" t="inlineStr">
        <is>
          <t>Övriga statliga verk och myndigheter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27805-2021</t>
        </is>
      </c>
      <c r="B77" s="1" t="n">
        <v>44354</v>
      </c>
      <c r="C77" s="1" t="n">
        <v>45999</v>
      </c>
      <c r="D77" t="inlineStr">
        <is>
          <t>STOCKHOLMS LÄN</t>
        </is>
      </c>
      <c r="E77" t="inlineStr">
        <is>
          <t>UPPLANDS-BRO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31370-2021</t>
        </is>
      </c>
      <c r="B78" s="1" t="n">
        <v>44368</v>
      </c>
      <c r="C78" s="1" t="n">
        <v>45999</v>
      </c>
      <c r="D78" t="inlineStr">
        <is>
          <t>STOCKHOLMS LÄN</t>
        </is>
      </c>
      <c r="E78" t="inlineStr">
        <is>
          <t>UPPLANDS-BRO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23098-2024</t>
        </is>
      </c>
      <c r="B79" s="1" t="n">
        <v>45450</v>
      </c>
      <c r="C79" s="1" t="n">
        <v>45999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2025-12-08T10:30:40Z</dcterms:created>
  <dcterms:modified xmlns:dcterms="http://purl.org/dc/terms/" xmlns:xsi="http://www.w3.org/2001/XMLSchema-instance" xsi:type="dcterms:W3CDTF">2025-12-08T10:30:41Z</dcterms:modified>
</cp:coreProperties>
</file>