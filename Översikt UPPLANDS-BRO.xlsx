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46227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2062-2025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45671</v>
      </c>
      <c r="E11" s="1" t="n">
        <v>46227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Mindre hackspett</t>
        </is>
      </c>
      <c r="W11">
        <f>HYPERLINK("https://klasma.github.io/Logging_0139/artfynd/A 2062-2025 artfynd.xlsx", "A 2062-2025")</f>
        <v/>
      </c>
      <c r="X11">
        <f>HYPERLINK("https://klasma.github.io/Logging_0139/kartor/A 2062-2025 karta.png", "A 2062-2025")</f>
        <v/>
      </c>
      <c r="Y11">
        <f>HYPERLINK("https://klasma.github.io/Logging_0139/kartor_geotiff/A 2062-2025 georefererad karta.tif", "A 2062-2025")</f>
        <v/>
      </c>
      <c r="AA11">
        <f>HYPERLINK("https://klasma.github.io/Logging_0139/klagomål/A 2062-2025 FSC-klagomål.docx", "A 2062-2025")</f>
        <v/>
      </c>
      <c r="AB11">
        <f>HYPERLINK("https://klasma.github.io/Logging_0139/klagomålsmail/A 2062-2025 FSC-klagomål mail.docx", "A 2062-2025")</f>
        <v/>
      </c>
      <c r="AC11">
        <f>HYPERLINK("https://klasma.github.io/Logging_0139/tillsyn/A 2062-2025 tillsynsbegäran.docx", "A 2062-2025")</f>
        <v/>
      </c>
      <c r="AD11">
        <f>HYPERLINK("https://klasma.github.io/Logging_0139/tillsynsmail/A 2062-2025 tillsynsbegäran mail.docx", "A 2062-2025")</f>
        <v/>
      </c>
      <c r="AE11">
        <f>HYPERLINK("https://klasma.github.io/Logging_0139/fåglar/A 2062-2025 prioriterade fågelarter.docx", "A 2062-2025")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46227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46227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25561-2025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45803</v>
      </c>
      <c r="E14" s="1" t="n">
        <v>46227</v>
      </c>
      <c r="F14" t="inlineStr">
        <is>
          <t>STOCKHOLMS LÄN</t>
        </is>
      </c>
      <c r="G14" t="inlineStr">
        <is>
          <t>UPPLANDS-BRO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25561-2025 artfynd.xlsx", "A 25561-2025")</f>
        <v/>
      </c>
      <c r="X14">
        <f>HYPERLINK("https://klasma.github.io/Logging_0139/kartor/A 25561-2025 karta.png", "A 25561-2025")</f>
        <v/>
      </c>
      <c r="Y14">
        <f>HYPERLINK("https://klasma.github.io/Logging_0139/kartor_geotiff/A 25561-2025 georefererad karta.tif", "A 25561-2025")</f>
        <v/>
      </c>
      <c r="AA14">
        <f>HYPERLINK("https://klasma.github.io/Logging_0139/klagomål/A 25561-2025 FSC-klagomål.docx", "A 25561-2025")</f>
        <v/>
      </c>
      <c r="AB14">
        <f>HYPERLINK("https://klasma.github.io/Logging_0139/klagomålsmail/A 25561-2025 FSC-klagomål mail.docx", "A 25561-2025")</f>
        <v/>
      </c>
      <c r="AC14">
        <f>HYPERLINK("https://klasma.github.io/Logging_0139/tillsyn/A 25561-2025 tillsynsbegäran.docx", "A 25561-2025")</f>
        <v/>
      </c>
      <c r="AD14">
        <f>HYPERLINK("https://klasma.github.io/Logging_0139/tillsynsmail/A 25561-2025 tillsynsbegäran mail.docx", "A 25561-2025")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46227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12363-2025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45730</v>
      </c>
      <c r="E16" s="1" t="n">
        <v>46227</v>
      </c>
      <c r="F16" t="inlineStr">
        <is>
          <t>STOCKHOLMS LÄN</t>
        </is>
      </c>
      <c r="G16" t="inlineStr">
        <is>
          <t>UPPLANDS-BRO</t>
        </is>
      </c>
      <c r="I16" t="n">
        <v>0.8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Nästrot</t>
        </is>
      </c>
      <c r="W16">
        <f>HYPERLINK("https://klasma.github.io/Logging_0139/artfynd/A 12363-2025 artfynd.xlsx", "A 12363-2025")</f>
        <v/>
      </c>
      <c r="X16">
        <f>HYPERLINK("https://klasma.github.io/Logging_0139/kartor/A 12363-2025 karta.png", "A 12363-2025")</f>
        <v/>
      </c>
      <c r="Y16">
        <f>HYPERLINK("https://klasma.github.io/Logging_0139/kartor_geotiff/A 12363-2025 georefererad karta.tif", "A 12363-2025")</f>
        <v/>
      </c>
      <c r="AA16">
        <f>HYPERLINK("https://klasma.github.io/Logging_0139/klagomål/A 12363-2025 FSC-klagomål.docx", "A 12363-2025")</f>
        <v/>
      </c>
      <c r="AB16">
        <f>HYPERLINK("https://klasma.github.io/Logging_0139/klagomålsmail/A 12363-2025 FSC-klagomål mail.docx", "A 12363-2025")</f>
        <v/>
      </c>
      <c r="AC16">
        <f>HYPERLINK("https://klasma.github.io/Logging_0139/tillsyn/A 12363-2025 tillsynsbegäran.docx", "A 12363-2025")</f>
        <v/>
      </c>
      <c r="AD16">
        <f>HYPERLINK("https://klasma.github.io/Logging_0139/tillsynsmail/A 12363-2025 tillsynsbegäran mail.docx", "A 12363-2025")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46227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23099-2024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46227</v>
      </c>
      <c r="F18" t="inlineStr">
        <is>
          <t>STOCKHOLMS LÄN</t>
        </is>
      </c>
      <c r="G18" t="inlineStr">
        <is>
          <t>UPPLANDS-BRO</t>
        </is>
      </c>
      <c r="H18" t="inlineStr">
        <is>
          <t>Övriga statliga verk och myndigheter</t>
        </is>
      </c>
      <c r="I18" t="n">
        <v>0.7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Bredbrämad bastardsvärmare</t>
        </is>
      </c>
      <c r="W18">
        <f>HYPERLINK("https://klasma.github.io/Logging_0139/artfynd/A 23099-2024 artfynd.xlsx", "A 23099-2024")</f>
        <v/>
      </c>
      <c r="X18">
        <f>HYPERLINK("https://klasma.github.io/Logging_0139/kartor/A 23099-2024 karta.png", "A 23099-2024")</f>
        <v/>
      </c>
      <c r="Y18">
        <f>HYPERLINK("https://klasma.github.io/Logging_0139/kartor_geotiff/A 23099-2024 georefererad karta.tif", "A 23099-2024")</f>
        <v/>
      </c>
      <c r="AA18">
        <f>HYPERLINK("https://klasma.github.io/Logging_0139/klagomål/A 23099-2024 FSC-klagomål.docx", "A 23099-2024")</f>
        <v/>
      </c>
      <c r="AB18">
        <f>HYPERLINK("https://klasma.github.io/Logging_0139/klagomålsmail/A 23099-2024 FSC-klagomål mail.docx", "A 23099-2024")</f>
        <v/>
      </c>
      <c r="AC18">
        <f>HYPERLINK("https://klasma.github.io/Logging_0139/tillsyn/A 23099-2024 tillsynsbegäran.docx", "A 23099-2024")</f>
        <v/>
      </c>
      <c r="AD18">
        <f>HYPERLINK("https://klasma.github.io/Logging_0139/tillsynsmail/A 23099-2024 tillsynsbegäran mail.docx", "A 23099-2024")</f>
        <v/>
      </c>
    </row>
    <row r="19" ht="15" customHeight="1">
      <c r="A19" t="inlineStr">
        <is>
          <t>A 64098-2023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46227</v>
      </c>
      <c r="F19" t="inlineStr">
        <is>
          <t>STOCKHOLMS LÄN</t>
        </is>
      </c>
      <c r="G19" t="inlineStr">
        <is>
          <t>UPPLANDS-BRO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Skogsalmsdvärgmal</t>
        </is>
      </c>
      <c r="W19">
        <f>HYPERLINK("https://klasma.github.io/Logging_0139/artfynd/A 64098-2023 artfynd.xlsx", "A 64098-2023")</f>
        <v/>
      </c>
      <c r="X19">
        <f>HYPERLINK("https://klasma.github.io/Logging_0139/kartor/A 64098-2023 karta.png", "A 64098-2023")</f>
        <v/>
      </c>
      <c r="Y19">
        <f>HYPERLINK("https://klasma.github.io/Logging_0139/kartor_geotiff/A 64098-2023 georefererad karta.tif", "A 64098-2023")</f>
        <v/>
      </c>
      <c r="AA19">
        <f>HYPERLINK("https://klasma.github.io/Logging_0139/klagomål/A 64098-2023 FSC-klagomål.docx", "A 64098-2023")</f>
        <v/>
      </c>
      <c r="AB19">
        <f>HYPERLINK("https://klasma.github.io/Logging_0139/klagomålsmail/A 64098-2023 FSC-klagomål mail.docx", "A 64098-2023")</f>
        <v/>
      </c>
      <c r="AC19">
        <f>HYPERLINK("https://klasma.github.io/Logging_0139/tillsyn/A 64098-2023 tillsynsbegäran.docx", "A 64098-2023")</f>
        <v/>
      </c>
      <c r="AD19">
        <f>HYPERLINK("https://klasma.github.io/Logging_0139/tillsynsmail/A 64098-2023 tillsynsbegäran mail.docx", "A 64098-2023")</f>
        <v/>
      </c>
    </row>
    <row r="20" ht="15" customHeight="1">
      <c r="A20" t="inlineStr">
        <is>
          <t>A 73773-2021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44552</v>
      </c>
      <c r="E20" s="1" t="n">
        <v>46227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Kopparödla</t>
        </is>
      </c>
      <c r="W20">
        <f>HYPERLINK("https://klasma.github.io/Logging_0139/artfynd/A 73773-2021 artfynd.xlsx", "A 73773-2021")</f>
        <v/>
      </c>
      <c r="X20">
        <f>HYPERLINK("https://klasma.github.io/Logging_0139/kartor/A 73773-2021 karta.png", "A 73773-2021")</f>
        <v/>
      </c>
      <c r="Y20">
        <f>HYPERLINK("https://klasma.github.io/Logging_0139/kartor_geotiff/A 73773-2021 georefererad karta.tif", "A 73773-2021")</f>
        <v/>
      </c>
      <c r="AA20">
        <f>HYPERLINK("https://klasma.github.io/Logging_0139/klagomål/A 73773-2021 FSC-klagomål.docx", "A 73773-2021")</f>
        <v/>
      </c>
      <c r="AB20">
        <f>HYPERLINK("https://klasma.github.io/Logging_0139/klagomålsmail/A 73773-2021 FSC-klagomål mail.docx", "A 73773-2021")</f>
        <v/>
      </c>
      <c r="AC20">
        <f>HYPERLINK("https://klasma.github.io/Logging_0139/tillsyn/A 73773-2021 tillsynsbegäran.docx", "A 73773-2021")</f>
        <v/>
      </c>
      <c r="AD20">
        <f>HYPERLINK("https://klasma.github.io/Logging_0139/tillsynsmail/A 73773-2021 tillsynsbegäran mail.docx", "A 73773-2021")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46227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46227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46227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46227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46227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46227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46227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46227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46227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46227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46227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46227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46227</v>
      </c>
      <c r="F34" t="inlineStr">
        <is>
          <t>STOCKHOLMS LÄN</t>
        </is>
      </c>
      <c r="G34" t="inlineStr">
        <is>
          <t>UPPLANDS-BRO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44420</v>
      </c>
      <c r="E35" s="1" t="n">
        <v>46227</v>
      </c>
      <c r="F35" t="inlineStr">
        <is>
          <t>STOCKHOLMS LÄN</t>
        </is>
      </c>
      <c r="G35" t="inlineStr">
        <is>
          <t>UPPLANDS-BRO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46227</v>
      </c>
      <c r="F36" t="inlineStr">
        <is>
          <t>STOCKHOLMS LÄN</t>
        </is>
      </c>
      <c r="G36" t="inlineStr">
        <is>
          <t>UPPLANDS-BRO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46227</v>
      </c>
      <c r="F37" t="inlineStr">
        <is>
          <t>STOCKHOLMS LÄN</t>
        </is>
      </c>
      <c r="G37" t="inlineStr">
        <is>
          <t>UPPLANDS-BRO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46227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46227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46227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46227</v>
      </c>
      <c r="F41" t="inlineStr">
        <is>
          <t>STOCKHOLMS LÄN</t>
        </is>
      </c>
      <c r="G41" t="inlineStr">
        <is>
          <t>UPPLANDS-BRO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46227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23098-2024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45450</v>
      </c>
      <c r="E43" s="1" t="n">
        <v>46227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46227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44901</v>
      </c>
      <c r="E45" s="1" t="n">
        <v>46227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45225</v>
      </c>
      <c r="E46" s="1" t="n">
        <v>46227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9655-2026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46227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44953</v>
      </c>
      <c r="E48" s="1" t="n">
        <v>46227</v>
      </c>
      <c r="F48" t="inlineStr">
        <is>
          <t>STOCKHOLMS LÄN</t>
        </is>
      </c>
      <c r="G48" t="inlineStr">
        <is>
          <t>UPPLANDS-BRO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58011-2021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46227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46227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46227</v>
      </c>
      <c r="F51" t="inlineStr">
        <is>
          <t>STOCKHOLMS LÄN</t>
        </is>
      </c>
      <c r="G51" t="inlineStr">
        <is>
          <t>UPPLANDS-BRO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45450</v>
      </c>
      <c r="E52" s="1" t="n">
        <v>46227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45096</v>
      </c>
      <c r="E53" s="1" t="n">
        <v>46227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46227</v>
      </c>
      <c r="F54" t="inlineStr">
        <is>
          <t>STOCKHOLMS LÄN</t>
        </is>
      </c>
      <c r="G54" t="inlineStr">
        <is>
          <t>UPPLANDS-BRO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46227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18813-2026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46227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46227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46227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46227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46227</v>
      </c>
      <c r="F60" t="inlineStr">
        <is>
          <t>STOCKHOLMS LÄN</t>
        </is>
      </c>
      <c r="G60" t="inlineStr">
        <is>
          <t>UPPLANDS-BRO</t>
        </is>
      </c>
      <c r="H60" t="inlineStr">
        <is>
          <t>Allmännings- och besparingsskogar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46146</v>
      </c>
      <c r="E61" s="1" t="n">
        <v>46227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46227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46227</v>
      </c>
      <c r="F63" t="inlineStr">
        <is>
          <t>STOCKHOLMS LÄN</t>
        </is>
      </c>
      <c r="G63" t="inlineStr">
        <is>
          <t>UPPLANDS-BRO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46227</v>
      </c>
      <c r="F64" t="inlineStr">
        <is>
          <t>STOCKHOLMS LÄN</t>
        </is>
      </c>
      <c r="G64" t="inlineStr">
        <is>
          <t>UPPLANDS-BRO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46227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46227</v>
      </c>
      <c r="F66" t="inlineStr">
        <is>
          <t>STOCKHOLMS LÄN</t>
        </is>
      </c>
      <c r="G66" t="inlineStr">
        <is>
          <t>UPPLANDS-BRO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46227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46227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9.6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46227</v>
      </c>
      <c r="F69" t="inlineStr">
        <is>
          <t>STOCKHOLMS LÄN</t>
        </is>
      </c>
      <c r="G69" t="inlineStr">
        <is>
          <t>UPPLANDS-BRO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44906</v>
      </c>
      <c r="E70" s="1" t="n">
        <v>46227</v>
      </c>
      <c r="F70" t="inlineStr">
        <is>
          <t>STOCKHOLMS LÄN</t>
        </is>
      </c>
      <c r="G70" t="inlineStr">
        <is>
          <t>UPPLANDS-BRO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46227</v>
      </c>
      <c r="F71" t="inlineStr">
        <is>
          <t>STOCKHOLMS LÄN</t>
        </is>
      </c>
      <c r="G71" t="inlineStr">
        <is>
          <t>UPPLANDS-BRO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44950</v>
      </c>
      <c r="E72" s="1" t="n">
        <v>46227</v>
      </c>
      <c r="F72" t="inlineStr">
        <is>
          <t>STOCKHOLMS LÄN</t>
        </is>
      </c>
      <c r="G72" t="inlineStr">
        <is>
          <t>UPPLANDS-BRO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46227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58598-2025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46227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31160-2022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44770</v>
      </c>
      <c r="E75" s="1" t="n">
        <v>46227</v>
      </c>
      <c r="F75" t="inlineStr">
        <is>
          <t>STOCKHOLMS LÄN</t>
        </is>
      </c>
      <c r="G75" t="inlineStr">
        <is>
          <t>UPPLANDS-BRO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26633-2026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46227</v>
      </c>
      <c r="F76" t="inlineStr">
        <is>
          <t>STOCKHOLMS LÄN</t>
        </is>
      </c>
      <c r="G76" t="inlineStr">
        <is>
          <t>UPPLANDS-BRO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46227</v>
      </c>
      <c r="F77" t="inlineStr">
        <is>
          <t>STOCKHOLMS LÄN</t>
        </is>
      </c>
      <c r="G77" t="inlineStr">
        <is>
          <t>UPPLANDS-BRO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26196-2026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46182</v>
      </c>
      <c r="E78" s="1" t="n">
        <v>46227</v>
      </c>
      <c r="F78" t="inlineStr">
        <is>
          <t>STOCKHOLMS LÄN</t>
        </is>
      </c>
      <c r="G78" t="inlineStr">
        <is>
          <t>UPPLANDS-BRO</t>
        </is>
      </c>
      <c r="I78" t="n">
        <v>53.1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31714-2026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46226</v>
      </c>
      <c r="E79" s="1" t="n">
        <v>46227</v>
      </c>
      <c r="F79" t="inlineStr">
        <is>
          <t>STOCKHOLMS LÄN</t>
        </is>
      </c>
      <c r="G79" t="inlineStr">
        <is>
          <t>UPPLANDS-BRO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26629-2026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46227</v>
      </c>
      <c r="F80" t="inlineStr">
        <is>
          <t>STOCKHOLMS LÄN</t>
        </is>
      </c>
      <c r="G80" t="inlineStr">
        <is>
          <t>UPPLANDS-BRO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46227</v>
      </c>
      <c r="F81" t="inlineStr">
        <is>
          <t>STOCKHOLMS LÄN</t>
        </is>
      </c>
      <c r="G81" t="inlineStr">
        <is>
          <t>UPPLANDS-BRO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45279</v>
      </c>
      <c r="E82" s="1" t="n">
        <v>46227</v>
      </c>
      <c r="F82" t="inlineStr">
        <is>
          <t>STOCKHOLMS LÄN</t>
        </is>
      </c>
      <c r="G82" t="inlineStr">
        <is>
          <t>UPPLANDS-BRO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10447-2021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44558</v>
      </c>
      <c r="E83" s="1" t="n">
        <v>46227</v>
      </c>
      <c r="F83" t="inlineStr">
        <is>
          <t>STOCKHOLMS LÄN</t>
        </is>
      </c>
      <c r="G83" t="inlineStr">
        <is>
          <t>UPPLANDS-BRO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2026-07-24T01:50:29Z</dcterms:created>
  <dcterms:modified xmlns:dcterms="http://purl.org/dc/terms/" xmlns:xsi="http://www.w3.org/2001/XMLSchema-instance" xsi:type="dcterms:W3CDTF">2026-07-24T01:50:29Z</dcterms:modified>
</cp:coreProperties>
</file>