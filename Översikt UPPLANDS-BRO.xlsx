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46205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46205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46205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46205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46205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46205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46205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46205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46205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</v>
      </c>
      <c r="C11" s="1" t="n">
        <v>46205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46205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s="1" t="n">
        <v>45730</v>
      </c>
      <c r="C13" s="1" t="n">
        <v>46205</v>
      </c>
      <c r="D13" t="inlineStr">
        <is>
          <t>STOCKHOLMS LÄN</t>
        </is>
      </c>
      <c r="E13" t="inlineStr">
        <is>
          <t>UPPLANDS-BRO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HYPERLINK("https://klasma.github.io/Logging_0139/artfynd/A 12363-2025 artfynd.xlsx", "A 12363-2025")</f>
        <v/>
      </c>
      <c r="T13">
        <f>HYPERLINK("https://klasma.github.io/Logging_0139/kartor/A 12363-2025 karta.png", "A 12363-2025")</f>
        <v/>
      </c>
      <c r="V13">
        <f>HYPERLINK("https://klasma.github.io/Logging_0139/klagomål/A 12363-2025 FSC-klagomål.docx", "A 12363-2025")</f>
        <v/>
      </c>
      <c r="W13">
        <f>HYPERLINK("https://klasma.github.io/Logging_0139/klagomålsmail/A 12363-2025 FSC-klagomål mail.docx", "A 12363-2025")</f>
        <v/>
      </c>
      <c r="X13">
        <f>HYPERLINK("https://klasma.github.io/Logging_0139/tillsyn/A 12363-2025 tillsynsbegäran.docx", "A 12363-2025")</f>
        <v/>
      </c>
      <c r="Y13">
        <f>HYPERLINK("https://klasma.github.io/Logging_0139/tillsynsmail/A 12363-2025 tillsynsbegäran mail.docx", "A 12363-2025")</f>
        <v/>
      </c>
    </row>
    <row r="14" ht="15" customHeight="1">
      <c r="A14" t="inlineStr">
        <is>
          <t>A 46438-2023</t>
        </is>
      </c>
      <c r="B14" s="1" t="n">
        <v>45197</v>
      </c>
      <c r="C14" s="1" t="n">
        <v>46205</v>
      </c>
      <c r="D14" t="inlineStr">
        <is>
          <t>STOCKHOLMS LÄN</t>
        </is>
      </c>
      <c r="E14" t="inlineStr">
        <is>
          <t>UPPLANDS-BRO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46438-2023 artfynd.xlsx", "A 46438-2023")</f>
        <v/>
      </c>
      <c r="T14">
        <f>HYPERLINK("https://klasma.github.io/Logging_0139/kartor/A 46438-2023 karta.png", "A 46438-2023")</f>
        <v/>
      </c>
      <c r="V14">
        <f>HYPERLINK("https://klasma.github.io/Logging_0139/klagomål/A 46438-2023 FSC-klagomål.docx", "A 46438-2023")</f>
        <v/>
      </c>
      <c r="W14">
        <f>HYPERLINK("https://klasma.github.io/Logging_0139/klagomålsmail/A 46438-2023 FSC-klagomål mail.docx", "A 46438-2023")</f>
        <v/>
      </c>
      <c r="X14">
        <f>HYPERLINK("https://klasma.github.io/Logging_0139/tillsyn/A 46438-2023 tillsynsbegäran.docx", "A 46438-2023")</f>
        <v/>
      </c>
      <c r="Y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s="1" t="n">
        <v>45959</v>
      </c>
      <c r="C15" s="1" t="n">
        <v>46205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46205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46205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46205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46205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26623-2026</t>
        </is>
      </c>
      <c r="B20" s="1" t="n">
        <v>46184</v>
      </c>
      <c r="C20" s="1" t="n">
        <v>46205</v>
      </c>
      <c r="D20" t="inlineStr">
        <is>
          <t>STOCKHOLMS LÄN</t>
        </is>
      </c>
      <c r="E20" t="inlineStr">
        <is>
          <t>UPPLANDS-BRO</t>
        </is>
      </c>
      <c r="G20" t="n">
        <v>4.6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Svartöra</t>
        </is>
      </c>
      <c r="S20">
        <f>HYPERLINK("https://klasma.github.io/Logging_0139/artfynd/A 26623-2026 artfynd.xlsx", "A 26623-2026")</f>
        <v/>
      </c>
      <c r="T20">
        <f>HYPERLINK("https://klasma.github.io/Logging_0139/kartor/A 26623-2026 karta.png", "A 26623-2026")</f>
        <v/>
      </c>
      <c r="V20">
        <f>HYPERLINK("https://klasma.github.io/Logging_0139/klagomål/A 26623-2026 FSC-klagomål.docx", "A 26623-2026")</f>
        <v/>
      </c>
      <c r="W20">
        <f>HYPERLINK("https://klasma.github.io/Logging_0139/klagomålsmail/A 26623-2026 FSC-klagomål mail.docx", "A 26623-2026")</f>
        <v/>
      </c>
      <c r="X20">
        <f>HYPERLINK("https://klasma.github.io/Logging_0139/tillsyn/A 26623-2026 tillsynsbegäran.docx", "A 26623-2026")</f>
        <v/>
      </c>
      <c r="Y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s="1" t="n">
        <v>46184</v>
      </c>
      <c r="C21" s="1" t="n">
        <v>46205</v>
      </c>
      <c r="D21" t="inlineStr">
        <is>
          <t>STOCKHOLMS LÄN</t>
        </is>
      </c>
      <c r="E21" t="inlineStr">
        <is>
          <t>UPPLANDS-BRO</t>
        </is>
      </c>
      <c r="G21" t="n">
        <v>5.4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HYPERLINK("https://klasma.github.io/Logging_0139/artfynd/A 26637-2026 artfynd.xlsx", "A 26637-2026")</f>
        <v/>
      </c>
      <c r="T21">
        <f>HYPERLINK("https://klasma.github.io/Logging_0139/kartor/A 26637-2026 karta.png", "A 26637-2026")</f>
        <v/>
      </c>
      <c r="V21">
        <f>HYPERLINK("https://klasma.github.io/Logging_0139/klagomål/A 26637-2026 FSC-klagomål.docx", "A 26637-2026")</f>
        <v/>
      </c>
      <c r="W21">
        <f>HYPERLINK("https://klasma.github.io/Logging_0139/klagomålsmail/A 26637-2026 FSC-klagomål mail.docx", "A 26637-2026")</f>
        <v/>
      </c>
      <c r="X21">
        <f>HYPERLINK("https://klasma.github.io/Logging_0139/tillsyn/A 26637-2026 tillsynsbegäran.docx", "A 26637-2026")</f>
        <v/>
      </c>
      <c r="Y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s="1" t="n">
        <v>45671</v>
      </c>
      <c r="C22" s="1" t="n">
        <v>46205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HYPERLINK("https://klasma.github.io/Logging_0139/artfynd/A 2062-2025 artfynd.xlsx", "A 2062-2025")</f>
        <v/>
      </c>
      <c r="T22">
        <f>HYPERLINK("https://klasma.github.io/Logging_0139/kartor/A 2062-2025 karta.png", "A 2062-2025")</f>
        <v/>
      </c>
      <c r="V22">
        <f>HYPERLINK("https://klasma.github.io/Logging_0139/klagomål/A 2062-2025 FSC-klagomål.docx", "A 2062-2025")</f>
        <v/>
      </c>
      <c r="W22">
        <f>HYPERLINK("https://klasma.github.io/Logging_0139/klagomålsmail/A 2062-2025 FSC-klagomål mail.docx", "A 2062-2025")</f>
        <v/>
      </c>
      <c r="X22">
        <f>HYPERLINK("https://klasma.github.io/Logging_0139/tillsyn/A 2062-2025 tillsynsbegäran.docx", "A 2062-2025")</f>
        <v/>
      </c>
      <c r="Y22">
        <f>HYPERLINK("https://klasma.github.io/Logging_0139/tillsynsmail/A 2062-2025 tillsynsbegäran mail.docx", "A 2062-2025")</f>
        <v/>
      </c>
      <c r="Z22">
        <f>HYPERLINK("https://klasma.github.io/Logging_0139/fåglar/A 2062-2025 prioriterade fågelarter.docx", "A 2062-2025")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46205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46205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46205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46205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46205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46205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46205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46205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46205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46205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46205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46205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40514-2021</t>
        </is>
      </c>
      <c r="B35" s="1" t="n">
        <v>44420</v>
      </c>
      <c r="C35" s="1" t="n">
        <v>46205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46205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2046-2026</t>
        </is>
      </c>
      <c r="B37" s="1" t="n">
        <v>46031</v>
      </c>
      <c r="C37" s="1" t="n">
        <v>46205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46205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46205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46205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3754-2026</t>
        </is>
      </c>
      <c r="B41" s="1" t="n">
        <v>46043</v>
      </c>
      <c r="C41" s="1" t="n">
        <v>46205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23098-2024</t>
        </is>
      </c>
      <c r="B42" s="1" t="n">
        <v>45450</v>
      </c>
      <c r="C42" s="1" t="n">
        <v>46205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9655-2026</t>
        </is>
      </c>
      <c r="B43" s="1" t="n">
        <v>46070</v>
      </c>
      <c r="C43" s="1" t="n">
        <v>46205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59844-2022</t>
        </is>
      </c>
      <c r="B44" s="1" t="n">
        <v>44901</v>
      </c>
      <c r="C44" s="1" t="n">
        <v>46205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54222-2023</t>
        </is>
      </c>
      <c r="B45" s="1" t="n">
        <v>45225</v>
      </c>
      <c r="C45" s="1" t="n">
        <v>46205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4338-2023</t>
        </is>
      </c>
      <c r="B46" s="1" t="n">
        <v>44953</v>
      </c>
      <c r="C46" s="1" t="n">
        <v>46205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58011-2021</t>
        </is>
      </c>
      <c r="B47" s="1" t="n">
        <v>44487</v>
      </c>
      <c r="C47" s="1" t="n">
        <v>46205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46205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64107-2023</t>
        </is>
      </c>
      <c r="B49" s="1" t="n">
        <v>45279</v>
      </c>
      <c r="C49" s="1" t="n">
        <v>46205</v>
      </c>
      <c r="D49" t="inlineStr">
        <is>
          <t>STOCKHOLMS LÄN</t>
        </is>
      </c>
      <c r="E49" t="inlineStr">
        <is>
          <t>UPPLANDS-BRO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23093-2024</t>
        </is>
      </c>
      <c r="B50" s="1" t="n">
        <v>45450</v>
      </c>
      <c r="C50" s="1" t="n">
        <v>46205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27313-2023</t>
        </is>
      </c>
      <c r="B51" s="1" t="n">
        <v>45096</v>
      </c>
      <c r="C51" s="1" t="n">
        <v>46205</v>
      </c>
      <c r="D51" t="inlineStr">
        <is>
          <t>STOCKHOLMS LÄN</t>
        </is>
      </c>
      <c r="E51" t="inlineStr">
        <is>
          <t>UPPLANDS-BRO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59377-2024</t>
        </is>
      </c>
      <c r="B52" s="1" t="n">
        <v>45638</v>
      </c>
      <c r="C52" s="1" t="n">
        <v>46205</v>
      </c>
      <c r="D52" t="inlineStr">
        <is>
          <t>STOCKHOLMS LÄN</t>
        </is>
      </c>
      <c r="E52" t="inlineStr">
        <is>
          <t>UPPLANDS-BRO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18787-2026</t>
        </is>
      </c>
      <c r="B53" s="1" t="n">
        <v>46128</v>
      </c>
      <c r="C53" s="1" t="n">
        <v>46205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24579-2026</t>
        </is>
      </c>
      <c r="B54" s="1" t="n">
        <v>46170</v>
      </c>
      <c r="C54" s="1" t="n">
        <v>46205</v>
      </c>
      <c r="D54" t="inlineStr">
        <is>
          <t>STOCKHOLMS LÄN</t>
        </is>
      </c>
      <c r="E54" t="inlineStr">
        <is>
          <t>UPPLANDS-BRO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18813-2026</t>
        </is>
      </c>
      <c r="B55" s="1" t="n">
        <v>46128</v>
      </c>
      <c r="C55" s="1" t="n">
        <v>46205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18818-2026</t>
        </is>
      </c>
      <c r="B56" s="1" t="n">
        <v>46128</v>
      </c>
      <c r="C56" s="1" t="n">
        <v>46205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18778-2026</t>
        </is>
      </c>
      <c r="B57" s="1" t="n">
        <v>46128</v>
      </c>
      <c r="C57" s="1" t="n">
        <v>46205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46205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46205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46205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46205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26196-2026</t>
        </is>
      </c>
      <c r="B62" s="1" t="n">
        <v>46182</v>
      </c>
      <c r="C62" s="1" t="n">
        <v>46205</v>
      </c>
      <c r="D62" t="inlineStr">
        <is>
          <t>STOCKHOLMS LÄN</t>
        </is>
      </c>
      <c r="E62" t="inlineStr">
        <is>
          <t>UPPLANDS-BRO</t>
        </is>
      </c>
      <c r="G62" t="n">
        <v>53.1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46205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46205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26625-2026</t>
        </is>
      </c>
      <c r="B65" s="1" t="n">
        <v>46184</v>
      </c>
      <c r="C65" s="1" t="n">
        <v>46205</v>
      </c>
      <c r="D65" t="inlineStr">
        <is>
          <t>STOCKHOLMS LÄN</t>
        </is>
      </c>
      <c r="E65" t="inlineStr">
        <is>
          <t>UPPLANDS-BRO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26633-2026</t>
        </is>
      </c>
      <c r="B66" s="1" t="n">
        <v>46184</v>
      </c>
      <c r="C66" s="1" t="n">
        <v>46205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26629-2026</t>
        </is>
      </c>
      <c r="B67" s="1" t="n">
        <v>46184</v>
      </c>
      <c r="C67" s="1" t="n">
        <v>46205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21206-2026</t>
        </is>
      </c>
      <c r="B68" s="1" t="n">
        <v>46146</v>
      </c>
      <c r="C68" s="1" t="n">
        <v>46205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46205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46205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2602-2024</t>
        </is>
      </c>
      <c r="B71" s="1" t="n">
        <v>45313</v>
      </c>
      <c r="C71" s="1" t="n">
        <v>46205</v>
      </c>
      <c r="D71" t="inlineStr">
        <is>
          <t>STOCKHOLMS LÄN</t>
        </is>
      </c>
      <c r="E71" t="inlineStr">
        <is>
          <t>UPPLANDS-BRO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59402-2022</t>
        </is>
      </c>
      <c r="B72" s="1" t="n">
        <v>44906</v>
      </c>
      <c r="C72" s="1" t="n">
        <v>46205</v>
      </c>
      <c r="D72" t="inlineStr">
        <is>
          <t>STOCKHOLMS LÄN</t>
        </is>
      </c>
      <c r="E72" t="inlineStr">
        <is>
          <t>UPPLANDS-BRO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28797-2026</t>
        </is>
      </c>
      <c r="B73" s="1" t="n">
        <v>46198</v>
      </c>
      <c r="C73" s="1" t="n">
        <v>46205</v>
      </c>
      <c r="D73" t="inlineStr">
        <is>
          <t>STOCKHOLMS LÄN</t>
        </is>
      </c>
      <c r="E73" t="inlineStr">
        <is>
          <t>UPPLANDS-BRO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3630-2023</t>
        </is>
      </c>
      <c r="B74" s="1" t="n">
        <v>44950</v>
      </c>
      <c r="C74" s="1" t="n">
        <v>46205</v>
      </c>
      <c r="D74" t="inlineStr">
        <is>
          <t>STOCKHOLMS LÄN</t>
        </is>
      </c>
      <c r="E74" t="inlineStr">
        <is>
          <t>UPPLANDS-BRO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28740-2026</t>
        </is>
      </c>
      <c r="B75" s="1" t="n">
        <v>46198</v>
      </c>
      <c r="C75" s="1" t="n">
        <v>46205</v>
      </c>
      <c r="D75" t="inlineStr">
        <is>
          <t>STOCKHOLMS LÄN</t>
        </is>
      </c>
      <c r="E75" t="inlineStr">
        <is>
          <t>UPPLANDS-BRO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7860-2024</t>
        </is>
      </c>
      <c r="B76" s="1" t="n">
        <v>45348</v>
      </c>
      <c r="C76" s="1" t="n">
        <v>46205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28735-2026</t>
        </is>
      </c>
      <c r="B77" s="1" t="n">
        <v>46198</v>
      </c>
      <c r="C77" s="1" t="n">
        <v>46205</v>
      </c>
      <c r="D77" t="inlineStr">
        <is>
          <t>STOCKHOLMS LÄN</t>
        </is>
      </c>
      <c r="E77" t="inlineStr">
        <is>
          <t>UPPLANDS-BRO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64105-2023</t>
        </is>
      </c>
      <c r="B78" s="1" t="n">
        <v>45279</v>
      </c>
      <c r="C78" s="1" t="n">
        <v>46205</v>
      </c>
      <c r="D78" t="inlineStr">
        <is>
          <t>STOCKHOLMS LÄN</t>
        </is>
      </c>
      <c r="E78" t="inlineStr">
        <is>
          <t>UPPLANDS-BRO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64114-2023</t>
        </is>
      </c>
      <c r="B79" s="1" t="n">
        <v>45279</v>
      </c>
      <c r="C79" s="1" t="n">
        <v>46205</v>
      </c>
      <c r="D79" t="inlineStr">
        <is>
          <t>STOCKHOLMS LÄN</t>
        </is>
      </c>
      <c r="E79" t="inlineStr">
        <is>
          <t>UPPLANDS-BRO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7112-2025</t>
        </is>
      </c>
      <c r="B80" s="1" t="n">
        <v>45701</v>
      </c>
      <c r="C80" s="1" t="n">
        <v>46205</v>
      </c>
      <c r="D80" t="inlineStr">
        <is>
          <t>STOCKHOLMS LÄN</t>
        </is>
      </c>
      <c r="E80" t="inlineStr">
        <is>
          <t>UPPLANDS-BRO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23615-2025</t>
        </is>
      </c>
      <c r="B81" s="1" t="n">
        <v>45792</v>
      </c>
      <c r="C81" s="1" t="n">
        <v>46205</v>
      </c>
      <c r="D81" t="inlineStr">
        <is>
          <t>STOCKHOLMS LÄN</t>
        </is>
      </c>
      <c r="E81" t="inlineStr">
        <is>
          <t>UPPLANDS-BRO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23627-2025</t>
        </is>
      </c>
      <c r="B82" s="1" t="n">
        <v>45792</v>
      </c>
      <c r="C82" s="1" t="n">
        <v>46205</v>
      </c>
      <c r="D82" t="inlineStr">
        <is>
          <t>STOCKHOLMS LÄN</t>
        </is>
      </c>
      <c r="E82" t="inlineStr">
        <is>
          <t>UPPLANDS-BRO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2026-07-02T00:58:41Z</dcterms:created>
  <dcterms:modified xmlns:dcterms="http://purl.org/dc/terms/" xmlns:xsi="http://www.w3.org/2001/XMLSchema-instance" xsi:type="dcterms:W3CDTF">2026-07-02T00:58:41Z</dcterms:modified>
</cp:coreProperties>
</file>