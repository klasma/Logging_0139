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46269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46269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2062-2025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45671</v>
      </c>
      <c r="E11" s="1" t="n">
        <v>46269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Mindre hackspett</t>
        </is>
      </c>
      <c r="W11">
        <f>HYPERLINK("https://klasma.github.io/Logging_0139/artfynd/A 2062-2025 artfynd.xlsx", "A 2062-2025")</f>
        <v/>
      </c>
      <c r="X11">
        <f>HYPERLINK("https://klasma.github.io/Logging_0139/kartor/A 2062-2025 karta.png", "A 2062-2025")</f>
        <v/>
      </c>
      <c r="Y11">
        <f>HYPERLINK("https://klasma.github.io/Logging_0139/kartor_geotiff/A 2062-2025 georefererad karta.tif", "A 2062-2025")</f>
        <v/>
      </c>
      <c r="AA11">
        <f>HYPERLINK("https://klasma.github.io/Logging_0139/klagomål/A 2062-2025 FSC-klagomål.docx", "A 2062-2025")</f>
        <v/>
      </c>
      <c r="AB11">
        <f>HYPERLINK("https://klasma.github.io/Logging_0139/klagomålsmail/A 2062-2025 FSC-klagomål mail.docx", "A 2062-2025")</f>
        <v/>
      </c>
      <c r="AC11">
        <f>HYPERLINK("https://klasma.github.io/Logging_0139/tillsyn/A 2062-2025 tillsynsbegäran.docx", "A 2062-2025")</f>
        <v/>
      </c>
      <c r="AD11">
        <f>HYPERLINK("https://klasma.github.io/Logging_0139/tillsynsmail/A 2062-2025 tillsynsbegäran mail.docx", "A 2062-2025")</f>
        <v/>
      </c>
      <c r="AE11">
        <f>HYPERLINK("https://klasma.github.io/Logging_0139/fåglar/A 2062-2025 prioriterade fågelarter.docx", "A 2062-2025")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46269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46269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46269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46269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11447-2025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45726</v>
      </c>
      <c r="E16" s="1" t="n">
        <v>46269</v>
      </c>
      <c r="F16" t="inlineStr">
        <is>
          <t>STOCKHOLMS LÄN</t>
        </is>
      </c>
      <c r="G16" t="inlineStr">
        <is>
          <t>UPPLANDS-BRO</t>
        </is>
      </c>
      <c r="I16" t="n">
        <v>1.5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Myskbock</t>
        </is>
      </c>
      <c r="W16">
        <f>HYPERLINK("https://klasma.github.io/Logging_0139/artfynd/A 11447-2025 artfynd.xlsx", "A 11447-2025")</f>
        <v/>
      </c>
      <c r="X16">
        <f>HYPERLINK("https://klasma.github.io/Logging_0139/kartor/A 11447-2025 karta.png", "A 11447-2025")</f>
        <v/>
      </c>
      <c r="Y16">
        <f>HYPERLINK("https://klasma.github.io/Logging_0139/kartor_geotiff/A 11447-2025 georefererad karta.tif", "A 11447-2025")</f>
        <v/>
      </c>
      <c r="AA16">
        <f>HYPERLINK("https://klasma.github.io/Logging_0139/klagomål/A 11447-2025 FSC-klagomål.docx", "A 11447-2025")</f>
        <v/>
      </c>
      <c r="AB16">
        <f>HYPERLINK("https://klasma.github.io/Logging_0139/klagomålsmail/A 11447-2025 FSC-klagomål mail.docx", "A 11447-2025")</f>
        <v/>
      </c>
      <c r="AC16">
        <f>HYPERLINK("https://klasma.github.io/Logging_0139/tillsyn/A 11447-2025 tillsynsbegäran.docx", "A 11447-2025")</f>
        <v/>
      </c>
      <c r="AD16">
        <f>HYPERLINK("https://klasma.github.io/Logging_0139/tillsynsmail/A 11447-2025 tillsynsbegäran mail.docx", "A 11447-2025")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46269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12363-2025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45730</v>
      </c>
      <c r="E18" s="1" t="n">
        <v>46269</v>
      </c>
      <c r="F18" t="inlineStr">
        <is>
          <t>STOCKHOLMS LÄN</t>
        </is>
      </c>
      <c r="G18" t="inlineStr">
        <is>
          <t>UPPLANDS-BRO</t>
        </is>
      </c>
      <c r="I18" t="n">
        <v>0.8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Nästrot</t>
        </is>
      </c>
      <c r="W18">
        <f>HYPERLINK("https://klasma.github.io/Logging_0139/artfynd/A 12363-2025 artfynd.xlsx", "A 12363-2025")</f>
        <v/>
      </c>
      <c r="X18">
        <f>HYPERLINK("https://klasma.github.io/Logging_0139/kartor/A 12363-2025 karta.png", "A 12363-2025")</f>
        <v/>
      </c>
      <c r="Y18">
        <f>HYPERLINK("https://klasma.github.io/Logging_0139/kartor_geotiff/A 12363-2025 georefererad karta.tif", "A 12363-2025")</f>
        <v/>
      </c>
      <c r="AA18">
        <f>HYPERLINK("https://klasma.github.io/Logging_0139/klagomål/A 12363-2025 FSC-klagomål.docx", "A 12363-2025")</f>
        <v/>
      </c>
      <c r="AB18">
        <f>HYPERLINK("https://klasma.github.io/Logging_0139/klagomålsmail/A 12363-2025 FSC-klagomål mail.docx", "A 12363-2025")</f>
        <v/>
      </c>
      <c r="AC18">
        <f>HYPERLINK("https://klasma.github.io/Logging_0139/tillsyn/A 12363-2025 tillsynsbegäran.docx", "A 12363-2025")</f>
        <v/>
      </c>
      <c r="AD18">
        <f>HYPERLINK("https://klasma.github.io/Logging_0139/tillsynsmail/A 12363-2025 tillsynsbegäran mail.docx", "A 12363-2025")</f>
        <v/>
      </c>
    </row>
    <row r="19" ht="15" customHeight="1">
      <c r="A19" t="inlineStr">
        <is>
          <t>A 73773-2021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44552</v>
      </c>
      <c r="E19" s="1" t="n">
        <v>46269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Kopparödla</t>
        </is>
      </c>
      <c r="W19">
        <f>HYPERLINK("https://klasma.github.io/Logging_0139/artfynd/A 73773-2021 artfynd.xlsx", "A 73773-2021")</f>
        <v/>
      </c>
      <c r="X19">
        <f>HYPERLINK("https://klasma.github.io/Logging_0139/kartor/A 73773-2021 karta.png", "A 73773-2021")</f>
        <v/>
      </c>
      <c r="Y19">
        <f>HYPERLINK("https://klasma.github.io/Logging_0139/kartor_geotiff/A 73773-2021 georefererad karta.tif", "A 73773-2021")</f>
        <v/>
      </c>
      <c r="AA19">
        <f>HYPERLINK("https://klasma.github.io/Logging_0139/klagomål/A 73773-2021 FSC-klagomål.docx", "A 73773-2021")</f>
        <v/>
      </c>
      <c r="AB19">
        <f>HYPERLINK("https://klasma.github.io/Logging_0139/klagomålsmail/A 73773-2021 FSC-klagomål mail.docx", "A 73773-2021")</f>
        <v/>
      </c>
      <c r="AC19">
        <f>HYPERLINK("https://klasma.github.io/Logging_0139/tillsyn/A 73773-2021 tillsynsbegäran.docx", "A 73773-2021")</f>
        <v/>
      </c>
      <c r="AD19">
        <f>HYPERLINK("https://klasma.github.io/Logging_0139/tillsynsmail/A 73773-2021 tillsynsbegäran mail.docx", "A 73773-2021")</f>
        <v/>
      </c>
    </row>
    <row r="20" ht="15" customHeight="1">
      <c r="A20" t="inlineStr">
        <is>
          <t>A 53357-2025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45959</v>
      </c>
      <c r="E20" s="1" t="n">
        <v>46269</v>
      </c>
      <c r="F20" t="inlineStr">
        <is>
          <t>STOCKHOLMS LÄN</t>
        </is>
      </c>
      <c r="G20" t="inlineStr">
        <is>
          <t>UPPLANDS-BRO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4</v>
      </c>
      <c r="U20" t="n">
        <v>0</v>
      </c>
      <c r="V20" s="2" t="inlineStr">
        <is>
          <t>Bombmurkla</t>
        </is>
      </c>
      <c r="W20">
        <f>HYPERLINK("https://klasma.github.io/Logging_0139/artfynd/A 53357-2025 artfynd.xlsx", "A 53357-2025")</f>
        <v/>
      </c>
      <c r="X20">
        <f>HYPERLINK("https://klasma.github.io/Logging_0139/kartor/A 53357-2025 karta.png", "A 53357-2025")</f>
        <v/>
      </c>
      <c r="Y20">
        <f>HYPERLINK("https://klasma.github.io/Logging_0139/kartor_geotiff/A 53357-2025 georefererad karta.tif", "A 53357-2025")</f>
        <v/>
      </c>
      <c r="AA20">
        <f>HYPERLINK("https://klasma.github.io/Logging_0139/klagomål/A 53357-2025 FSC-klagomål.docx", "A 53357-2025")</f>
        <v/>
      </c>
      <c r="AB20">
        <f>HYPERLINK("https://klasma.github.io/Logging_0139/klagomålsmail/A 53357-2025 FSC-klagomål mail.docx", "A 53357-2025")</f>
        <v/>
      </c>
      <c r="AC20">
        <f>HYPERLINK("https://klasma.github.io/Logging_0139/tillsyn/A 53357-2025 tillsynsbegäran.docx", "A 53357-2025")</f>
        <v/>
      </c>
      <c r="AD20">
        <f>HYPERLINK("https://klasma.github.io/Logging_0139/tillsynsmail/A 53357-2025 tillsynsbegäran mail.docx", "A 53357-2025")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46269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46269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2409-2026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46034</v>
      </c>
      <c r="E23" s="1" t="n">
        <v>46269</v>
      </c>
      <c r="F23" t="inlineStr">
        <is>
          <t>STOCKHOLMS LÄN</t>
        </is>
      </c>
      <c r="G23" t="inlineStr">
        <is>
          <t>UPPLANDS-BRO</t>
        </is>
      </c>
      <c r="I23" t="n">
        <v>14.2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HYPERLINK("https://klasma.github.io/Logging_0139/artfynd/A 2409-2026 artfynd.xlsx", "A 2409-2026")</f>
        <v/>
      </c>
      <c r="X23">
        <f>HYPERLINK("https://klasma.github.io/Logging_0139/kartor/A 2409-2026 karta.png", "A 2409-2026")</f>
        <v/>
      </c>
      <c r="Y23">
        <f>HYPERLINK("https://klasma.github.io/Logging_0139/kartor_geotiff/A 2409-2026 georefererad karta.tif", "A 2409-2026")</f>
        <v/>
      </c>
      <c r="AA23">
        <f>HYPERLINK("https://klasma.github.io/Logging_0139/klagomål/A 2409-2026 FSC-klagomål.docx", "A 2409-2026")</f>
        <v/>
      </c>
      <c r="AB23">
        <f>HYPERLINK("https://klasma.github.io/Logging_0139/klagomålsmail/A 2409-2026 FSC-klagomål mail.docx", "A 2409-2026")</f>
        <v/>
      </c>
      <c r="AC23">
        <f>HYPERLINK("https://klasma.github.io/Logging_0139/tillsyn/A 2409-2026 tillsynsbegäran.docx", "A 2409-2026")</f>
        <v/>
      </c>
      <c r="AD23">
        <f>HYPERLINK("https://klasma.github.io/Logging_0139/tillsynsmail/A 2409-2026 tillsynsbegäran mail.docx", "A 2409-2026")</f>
        <v/>
      </c>
      <c r="AE23">
        <f>HYPERLINK("https://klasma.github.io/Logging_0139/fåglar/A 2409-2026 prioriterade fågelarter.docx", "A 2409-2026")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46269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46269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46269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46269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46269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46269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23615-2025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45792</v>
      </c>
      <c r="E31" s="1" t="n">
        <v>46269</v>
      </c>
      <c r="F31" t="inlineStr">
        <is>
          <t>STOCKHOLMS LÄN</t>
        </is>
      </c>
      <c r="G31" t="inlineStr">
        <is>
          <t>UPPLANDS-BRO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46269</v>
      </c>
      <c r="F32" t="inlineStr">
        <is>
          <t>STOCKHOLMS LÄN</t>
        </is>
      </c>
      <c r="G32" t="inlineStr">
        <is>
          <t>UPPLANDS-BRO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44959</v>
      </c>
      <c r="E33" s="1" t="n">
        <v>46269</v>
      </c>
      <c r="F33" t="inlineStr">
        <is>
          <t>STOCKHOLMS LÄN</t>
        </is>
      </c>
      <c r="G33" t="inlineStr">
        <is>
          <t>UPPLANDS-BRO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46269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59700-2021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44494</v>
      </c>
      <c r="E35" s="1" t="n">
        <v>46269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51587-2023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46269</v>
      </c>
      <c r="F36" t="inlineStr">
        <is>
          <t>STOCKHOLMS LÄN</t>
        </is>
      </c>
      <c r="G36" t="inlineStr">
        <is>
          <t>UPPLANDS-BRO</t>
        </is>
      </c>
      <c r="H36" t="inlineStr">
        <is>
          <t>Allmännings- och besparingsskogar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46269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50294-2023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46269</v>
      </c>
      <c r="F38" t="inlineStr">
        <is>
          <t>STOCKHOLMS LÄN</t>
        </is>
      </c>
      <c r="G38" t="inlineStr">
        <is>
          <t>UPPLANDS-BRO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46269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45225</v>
      </c>
      <c r="E40" s="1" t="n">
        <v>46269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18778-2026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46269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44953</v>
      </c>
      <c r="E42" s="1" t="n">
        <v>46269</v>
      </c>
      <c r="F42" t="inlineStr">
        <is>
          <t>STOCKHOLMS LÄN</t>
        </is>
      </c>
      <c r="G42" t="inlineStr">
        <is>
          <t>UPPLANDS-BRO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58011-2021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44487</v>
      </c>
      <c r="E43" s="1" t="n">
        <v>46269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9.199999999999999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46269</v>
      </c>
      <c r="F44" t="inlineStr">
        <is>
          <t>STOCKHOLMS LÄN</t>
        </is>
      </c>
      <c r="G44" t="inlineStr">
        <is>
          <t>UPPLANDS-BRO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46269</v>
      </c>
      <c r="F45" t="inlineStr">
        <is>
          <t>STOCKHOLMS LÄN</t>
        </is>
      </c>
      <c r="G45" t="inlineStr">
        <is>
          <t>UPPLANDS-BRO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46269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46269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44901</v>
      </c>
      <c r="E48" s="1" t="n">
        <v>46269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46269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46269</v>
      </c>
      <c r="F50" t="inlineStr">
        <is>
          <t>STOCKHOLMS LÄN</t>
        </is>
      </c>
      <c r="G50" t="inlineStr">
        <is>
          <t>UPPLANDS-BRO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46269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46146</v>
      </c>
      <c r="E52" s="1" t="n">
        <v>46269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46269</v>
      </c>
      <c r="F53" t="inlineStr">
        <is>
          <t>STOCKHOLMS LÄN</t>
        </is>
      </c>
      <c r="G53" t="inlineStr">
        <is>
          <t>UPPLANDS-BRO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45986</v>
      </c>
      <c r="E54" s="1" t="n">
        <v>46269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46269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26196-2026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46182</v>
      </c>
      <c r="E56" s="1" t="n">
        <v>46269</v>
      </c>
      <c r="F56" t="inlineStr">
        <is>
          <t>STOCKHOLMS LÄN</t>
        </is>
      </c>
      <c r="G56" t="inlineStr">
        <is>
          <t>UPPLANDS-BRO</t>
        </is>
      </c>
      <c r="I56" t="n">
        <v>53.1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46269</v>
      </c>
      <c r="F57" t="inlineStr">
        <is>
          <t>STOCKHOLMS LÄN</t>
        </is>
      </c>
      <c r="G57" t="inlineStr">
        <is>
          <t>UPPLANDS-BRO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46269</v>
      </c>
      <c r="F58" t="inlineStr">
        <is>
          <t>STOCKHOLMS LÄN</t>
        </is>
      </c>
      <c r="G58" t="inlineStr">
        <is>
          <t>UPPLANDS-BRO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46269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9.6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46269</v>
      </c>
      <c r="F60" t="inlineStr">
        <is>
          <t>STOCKHOLMS LÄN</t>
        </is>
      </c>
      <c r="G60" t="inlineStr">
        <is>
          <t>UPPLANDS-BRO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45313</v>
      </c>
      <c r="E61" s="1" t="n">
        <v>46269</v>
      </c>
      <c r="F61" t="inlineStr">
        <is>
          <t>STOCKHOLMS LÄN</t>
        </is>
      </c>
      <c r="G61" t="inlineStr">
        <is>
          <t>UPPLANDS-BRO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59402-2022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44906</v>
      </c>
      <c r="E62" s="1" t="n">
        <v>46269</v>
      </c>
      <c r="F62" t="inlineStr">
        <is>
          <t>STOCKHOLMS LÄN</t>
        </is>
      </c>
      <c r="G62" t="inlineStr">
        <is>
          <t>UPPLANDS-BRO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46269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46269</v>
      </c>
      <c r="F64" t="inlineStr">
        <is>
          <t>STOCKHOLMS LÄN</t>
        </is>
      </c>
      <c r="G64" t="inlineStr">
        <is>
          <t>UPPLANDS-BRO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46269</v>
      </c>
      <c r="F65" t="inlineStr">
        <is>
          <t>STOCKHOLMS LÄN</t>
        </is>
      </c>
      <c r="G65" t="inlineStr">
        <is>
          <t>UPPLANDS-BRO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46269</v>
      </c>
      <c r="F66" t="inlineStr">
        <is>
          <t>STOCKHOLMS LÄN</t>
        </is>
      </c>
      <c r="G66" t="inlineStr">
        <is>
          <t>UPPLANDS-BRO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33058-2026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46245</v>
      </c>
      <c r="E67" s="1" t="n">
        <v>46269</v>
      </c>
      <c r="F67" t="inlineStr">
        <is>
          <t>STOCKHOLMS LÄN</t>
        </is>
      </c>
      <c r="G67" t="inlineStr">
        <is>
          <t>UPPLANDS-BRO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44950</v>
      </c>
      <c r="E68" s="1" t="n">
        <v>46269</v>
      </c>
      <c r="F68" t="inlineStr">
        <is>
          <t>STOCKHOLMS LÄN</t>
        </is>
      </c>
      <c r="G68" t="inlineStr">
        <is>
          <t>UPPLANDS-BRO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7860-2024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45348</v>
      </c>
      <c r="E69" s="1" t="n">
        <v>46269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46269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17.2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46269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46269</v>
      </c>
      <c r="F72" t="inlineStr">
        <is>
          <t>STOCKHOLMS LÄN</t>
        </is>
      </c>
      <c r="G72" t="inlineStr">
        <is>
          <t>UPPLANDS-BRO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46269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18813-2026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46269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56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46269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17.8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46226</v>
      </c>
      <c r="E76" s="1" t="n">
        <v>46269</v>
      </c>
      <c r="F76" t="inlineStr">
        <is>
          <t>STOCKHOLMS LÄN</t>
        </is>
      </c>
      <c r="G76" t="inlineStr">
        <is>
          <t>UPPLANDS-BRO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45701</v>
      </c>
      <c r="E77" s="1" t="n">
        <v>46269</v>
      </c>
      <c r="F77" t="inlineStr">
        <is>
          <t>STOCKHOLMS LÄN</t>
        </is>
      </c>
      <c r="G77" t="inlineStr">
        <is>
          <t>UPPLANDS-BRO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46269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2026-09-04T02:07:27Z</dcterms:created>
  <dcterms:modified xmlns:dcterms="http://purl.org/dc/terms/" xmlns:xsi="http://www.w3.org/2001/XMLSchema-instance" xsi:type="dcterms:W3CDTF">2026-09-04T02:07:27Z</dcterms:modified>
</cp:coreProperties>
</file>