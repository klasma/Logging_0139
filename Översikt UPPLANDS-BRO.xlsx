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46128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46128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46128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46128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46128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46128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46128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46128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23099-2024</t>
        </is>
      </c>
      <c r="B10" s="1" t="n">
        <v>45450</v>
      </c>
      <c r="C10" s="1" t="n">
        <v>46128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Bredbrämad bastardsvärmare</t>
        </is>
      </c>
      <c r="S10">
        <f>HYPERLINK("https://klasma.github.io/Logging_0139/artfynd/A 23099-2024 artfynd.xlsx", "A 23099-2024")</f>
        <v/>
      </c>
      <c r="T10">
        <f>HYPERLINK("https://klasma.github.io/Logging_0139/kartor/A 23099-2024 karta.png", "A 23099-2024")</f>
        <v/>
      </c>
      <c r="V10">
        <f>HYPERLINK("https://klasma.github.io/Logging_0139/klagomål/A 23099-2024 FSC-klagomål.docx", "A 23099-2024")</f>
        <v/>
      </c>
      <c r="W10">
        <f>HYPERLINK("https://klasma.github.io/Logging_0139/klagomålsmail/A 23099-2024 FSC-klagomål mail.docx", "A 23099-2024")</f>
        <v/>
      </c>
      <c r="X10">
        <f>HYPERLINK("https://klasma.github.io/Logging_0139/tillsyn/A 23099-2024 tillsynsbegäran.docx", "A 23099-2024")</f>
        <v/>
      </c>
      <c r="Y10">
        <f>HYPERLINK("https://klasma.github.io/Logging_0139/tillsynsmail/A 23099-2024 tillsynsbegäran mail.docx", "A 23099-2024")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46128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46128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46128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46128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46128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46128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46128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46128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46128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46128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46128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46128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46128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46128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46128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46128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10910-2025</t>
        </is>
      </c>
      <c r="B27" s="1" t="n">
        <v>45722</v>
      </c>
      <c r="C27" s="1" t="n">
        <v>46128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46128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46128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46128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46128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46128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12372-2025</t>
        </is>
      </c>
      <c r="B33" s="1" t="n">
        <v>45730.37740740741</v>
      </c>
      <c r="C33" s="1" t="n">
        <v>46128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5264-2023</t>
        </is>
      </c>
      <c r="B34" s="1" t="n">
        <v>44959</v>
      </c>
      <c r="C34" s="1" t="n">
        <v>46128</v>
      </c>
      <c r="D34" t="inlineStr">
        <is>
          <t>STOCKHOLMS LÄN</t>
        </is>
      </c>
      <c r="E34" t="inlineStr">
        <is>
          <t>UPPLANDS-BRO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64114-2023</t>
        </is>
      </c>
      <c r="B35" s="1" t="n">
        <v>45279</v>
      </c>
      <c r="C35" s="1" t="n">
        <v>46128</v>
      </c>
      <c r="D35" t="inlineStr">
        <is>
          <t>STOCKHOLMS LÄN</t>
        </is>
      </c>
      <c r="E35" t="inlineStr">
        <is>
          <t>UPPLANDS-BRO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12378-2025</t>
        </is>
      </c>
      <c r="B36" s="1" t="n">
        <v>45730.38032407407</v>
      </c>
      <c r="C36" s="1" t="n">
        <v>46128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7110-2025</t>
        </is>
      </c>
      <c r="B37" s="1" t="n">
        <v>45701</v>
      </c>
      <c r="C37" s="1" t="n">
        <v>46128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10912-2025</t>
        </is>
      </c>
      <c r="B38" s="1" t="n">
        <v>45722</v>
      </c>
      <c r="C38" s="1" t="n">
        <v>46128</v>
      </c>
      <c r="D38" t="inlineStr">
        <is>
          <t>STOCKHOLMS LÄN</t>
        </is>
      </c>
      <c r="E38" t="inlineStr">
        <is>
          <t>UPPLANDS-BRO</t>
        </is>
      </c>
      <c r="F38" t="inlineStr">
        <is>
          <t>Allmännings- och besparingsskogar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10935-2025</t>
        </is>
      </c>
      <c r="B39" s="1" t="n">
        <v>45722</v>
      </c>
      <c r="C39" s="1" t="n">
        <v>46128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7112-2025</t>
        </is>
      </c>
      <c r="B40" s="1" t="n">
        <v>45701</v>
      </c>
      <c r="C40" s="1" t="n">
        <v>46128</v>
      </c>
      <c r="D40" t="inlineStr">
        <is>
          <t>STOCKHOLMS LÄN</t>
        </is>
      </c>
      <c r="E40" t="inlineStr">
        <is>
          <t>UPPLANDS-BRO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27805-2021</t>
        </is>
      </c>
      <c r="B41" s="1" t="n">
        <v>44354</v>
      </c>
      <c r="C41" s="1" t="n">
        <v>46128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46128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23098-2024</t>
        </is>
      </c>
      <c r="B43" s="1" t="n">
        <v>45450</v>
      </c>
      <c r="C43" s="1" t="n">
        <v>46128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46128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2062-2025</t>
        </is>
      </c>
      <c r="B45" s="1" t="n">
        <v>45671</v>
      </c>
      <c r="C45" s="1" t="n">
        <v>46128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23615-2025</t>
        </is>
      </c>
      <c r="B46" s="1" t="n">
        <v>45792.66532407407</v>
      </c>
      <c r="C46" s="1" t="n">
        <v>46128</v>
      </c>
      <c r="D46" t="inlineStr">
        <is>
          <t>STOCKHOLMS LÄN</t>
        </is>
      </c>
      <c r="E46" t="inlineStr">
        <is>
          <t>UPPLANDS-BRO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23627-2025</t>
        </is>
      </c>
      <c r="B47" s="1" t="n">
        <v>45792.67523148148</v>
      </c>
      <c r="C47" s="1" t="n">
        <v>46128</v>
      </c>
      <c r="D47" t="inlineStr">
        <is>
          <t>STOCKHOLMS LÄN</t>
        </is>
      </c>
      <c r="E47" t="inlineStr">
        <is>
          <t>UPPLANDS-BRO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46128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56756-2021</t>
        </is>
      </c>
      <c r="B49" s="1" t="n">
        <v>44481</v>
      </c>
      <c r="C49" s="1" t="n">
        <v>46128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59844-2022</t>
        </is>
      </c>
      <c r="B50" s="1" t="n">
        <v>44901</v>
      </c>
      <c r="C50" s="1" t="n">
        <v>46128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46128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4338-2023</t>
        </is>
      </c>
      <c r="B52" s="1" t="n">
        <v>44953</v>
      </c>
      <c r="C52" s="1" t="n">
        <v>46128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46128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72524-2021</t>
        </is>
      </c>
      <c r="B54" s="1" t="n">
        <v>44546</v>
      </c>
      <c r="C54" s="1" t="n">
        <v>46128</v>
      </c>
      <c r="D54" t="inlineStr">
        <is>
          <t>STOCKHOLMS LÄN</t>
        </is>
      </c>
      <c r="E54" t="inlineStr">
        <is>
          <t>UPPLANDS-BRO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64107-2023</t>
        </is>
      </c>
      <c r="B55" s="1" t="n">
        <v>45279</v>
      </c>
      <c r="C55" s="1" t="n">
        <v>46128</v>
      </c>
      <c r="D55" t="inlineStr">
        <is>
          <t>STOCKHOLMS LÄN</t>
        </is>
      </c>
      <c r="E55" t="inlineStr">
        <is>
          <t>UPPLANDS-BRO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23093-2024</t>
        </is>
      </c>
      <c r="B56" s="1" t="n">
        <v>45450</v>
      </c>
      <c r="C56" s="1" t="n">
        <v>46128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46128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46128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46128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58598-2025</t>
        </is>
      </c>
      <c r="B60" s="1" t="n">
        <v>45986</v>
      </c>
      <c r="C60" s="1" t="n">
        <v>46128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46128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55586-2023</t>
        </is>
      </c>
      <c r="B62" s="1" t="n">
        <v>45232</v>
      </c>
      <c r="C62" s="1" t="n">
        <v>46128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38.9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3596-2026</t>
        </is>
      </c>
      <c r="B63" s="1" t="n">
        <v>46042</v>
      </c>
      <c r="C63" s="1" t="n">
        <v>46128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46128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46128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46128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64110-2023</t>
        </is>
      </c>
      <c r="B67" s="1" t="n">
        <v>45279</v>
      </c>
      <c r="C67" s="1" t="n">
        <v>46128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2046-2026</t>
        </is>
      </c>
      <c r="B68" s="1" t="n">
        <v>46031</v>
      </c>
      <c r="C68" s="1" t="n">
        <v>46128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38902-2024</t>
        </is>
      </c>
      <c r="B69" s="1" t="n">
        <v>45547</v>
      </c>
      <c r="C69" s="1" t="n">
        <v>46128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50294-2023</t>
        </is>
      </c>
      <c r="B70" s="1" t="n">
        <v>45216</v>
      </c>
      <c r="C70" s="1" t="n">
        <v>46128</v>
      </c>
      <c r="D70" t="inlineStr">
        <is>
          <t>STOCKHOLMS LÄN</t>
        </is>
      </c>
      <c r="E70" t="inlineStr">
        <is>
          <t>UPPLANDS-BRO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3754-2026</t>
        </is>
      </c>
      <c r="B71" s="1" t="n">
        <v>46043</v>
      </c>
      <c r="C71" s="1" t="n">
        <v>46128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46438-2023</t>
        </is>
      </c>
      <c r="B72" s="1" t="n">
        <v>45197</v>
      </c>
      <c r="C72" s="1" t="n">
        <v>46128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46128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2602-2024</t>
        </is>
      </c>
      <c r="B74" s="1" t="n">
        <v>45313.73068287037</v>
      </c>
      <c r="C74" s="1" t="n">
        <v>46128</v>
      </c>
      <c r="D74" t="inlineStr">
        <is>
          <t>STOCKHOLMS LÄN</t>
        </is>
      </c>
      <c r="E74" t="inlineStr">
        <is>
          <t>UPPLANDS-BRO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59402-2022</t>
        </is>
      </c>
      <c r="B75" s="1" t="n">
        <v>44906</v>
      </c>
      <c r="C75" s="1" t="n">
        <v>46128</v>
      </c>
      <c r="D75" t="inlineStr">
        <is>
          <t>STOCKHOLMS LÄN</t>
        </is>
      </c>
      <c r="E75" t="inlineStr">
        <is>
          <t>UPPLANDS-BRO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3630-2023</t>
        </is>
      </c>
      <c r="B76" s="1" t="n">
        <v>44950</v>
      </c>
      <c r="C76" s="1" t="n">
        <v>46128</v>
      </c>
      <c r="D76" t="inlineStr">
        <is>
          <t>STOCKHOLMS LÄN</t>
        </is>
      </c>
      <c r="E76" t="inlineStr">
        <is>
          <t>UPPLANDS-BRO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7860-2024</t>
        </is>
      </c>
      <c r="B77" s="1" t="n">
        <v>45348</v>
      </c>
      <c r="C77" s="1" t="n">
        <v>46128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9655-2026</t>
        </is>
      </c>
      <c r="B78" s="1" t="n">
        <v>46070</v>
      </c>
      <c r="C78" s="1" t="n">
        <v>46128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9265-2026</t>
        </is>
      </c>
      <c r="B79" s="1" t="n">
        <v>46069</v>
      </c>
      <c r="C79" s="1" t="n">
        <v>46128</v>
      </c>
      <c r="D79" t="inlineStr">
        <is>
          <t>STOCKHOLMS LÄN</t>
        </is>
      </c>
      <c r="E79" t="inlineStr">
        <is>
          <t>UPPLANDS-BRO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2026-04-16T10:23:35Z</dcterms:created>
  <dcterms:modified xmlns:dcterms="http://purl.org/dc/terms/" xmlns:xsi="http://www.w3.org/2001/XMLSchema-instance" xsi:type="dcterms:W3CDTF">2026-04-16T10:23:35Z</dcterms:modified>
</cp:coreProperties>
</file>