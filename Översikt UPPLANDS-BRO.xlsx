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56756-2021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44481</v>
      </c>
      <c r="E2" s="1" t="n">
        <v>46270</v>
      </c>
      <c r="F2" t="inlineStr">
        <is>
          <t>STOCKHOLMS LÄN</t>
        </is>
      </c>
      <c r="G2" t="inlineStr">
        <is>
          <t>UPPLANDS-BRO</t>
        </is>
      </c>
      <c r="I2" t="n">
        <v>1.1</v>
      </c>
      <c r="J2" t="n">
        <v>5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5</v>
      </c>
      <c r="T2" t="n">
        <v>5</v>
      </c>
      <c r="U2" t="n">
        <v>0</v>
      </c>
      <c r="V2" s="2" t="inlineStr">
        <is>
          <t>Entita
Spillkråka
Tallbit
Grönsiska
Kungsfågel</t>
        </is>
      </c>
      <c r="W2">
        <f>HYPERLINK("https://klasma.github.io/Logging_0139/artfynd/A 56756-2021 artfynd.xlsx", "A 56756-2021")</f>
        <v/>
      </c>
      <c r="X2">
        <f>HYPERLINK("https://klasma.github.io/Logging_0139/kartor/A 56756-2021 karta.png", "A 56756-2021")</f>
        <v/>
      </c>
      <c r="Y2">
        <f>HYPERLINK("https://klasma.github.io/Logging_0139/kartor_geotiff/A 56756-2021 georefererad karta.tif", "A 56756-2021")</f>
        <v/>
      </c>
      <c r="AA2">
        <f>HYPERLINK("https://klasma.github.io/Logging_0139/klagomål/A 56756-2021 FSC-klagomål.docx", "A 56756-2021")</f>
        <v/>
      </c>
      <c r="AB2">
        <f>HYPERLINK("https://klasma.github.io/Logging_0139/klagomålsmail/A 56756-2021 FSC-klagomål mail.docx", "A 56756-2021")</f>
        <v/>
      </c>
      <c r="AC2">
        <f>HYPERLINK("https://klasma.github.io/Logging_0139/tillsyn/A 56756-2021 tillsynsbegäran.docx", "A 56756-2021")</f>
        <v/>
      </c>
      <c r="AD2">
        <f>HYPERLINK("https://klasma.github.io/Logging_0139/tillsynsmail/A 56756-2021 tillsynsbegäran mail.docx", "A 56756-2021")</f>
        <v/>
      </c>
      <c r="AE2">
        <f>HYPERLINK("https://klasma.github.io/Logging_0139/fåglar/A 56756-2021 prioriterade fågelarter.docx", "A 56756-2021")</f>
        <v/>
      </c>
    </row>
    <row r="3" ht="15" customHeight="1">
      <c r="A3" t="inlineStr">
        <is>
          <t>A 73783-2021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44552</v>
      </c>
      <c r="E3" s="1" t="n">
        <v>46270</v>
      </c>
      <c r="F3" t="inlineStr">
        <is>
          <t>STOCKHOLMS LÄN</t>
        </is>
      </c>
      <c r="G3" t="inlineStr">
        <is>
          <t>UPPLANDS-BRO</t>
        </is>
      </c>
      <c r="I3" t="n">
        <v>5.9</v>
      </c>
      <c r="J3" t="n">
        <v>0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4</v>
      </c>
      <c r="T3" t="n">
        <v>6</v>
      </c>
      <c r="U3" t="n">
        <v>1</v>
      </c>
      <c r="V3" s="2" t="inlineStr">
        <is>
          <t>Blek fingersvamp
Dofttaggsvamp
Skarp dropptaggsvamp
Svartvit taggsvamp</t>
        </is>
      </c>
      <c r="W3">
        <f>HYPERLINK("https://klasma.github.io/Logging_0139/artfynd/A 73783-2021 artfynd.xlsx", "A 73783-2021")</f>
        <v/>
      </c>
      <c r="X3">
        <f>HYPERLINK("https://klasma.github.io/Logging_0139/kartor/A 73783-2021 karta.png", "A 73783-2021")</f>
        <v/>
      </c>
      <c r="Y3">
        <f>HYPERLINK("https://klasma.github.io/Logging_0139/kartor_geotiff/A 73783-2021 georefererad karta.tif", "A 73783-2021")</f>
        <v/>
      </c>
      <c r="AA3">
        <f>HYPERLINK("https://klasma.github.io/Logging_0139/klagomål/A 73783-2021 FSC-klagomål.docx", "A 73783-2021")</f>
        <v/>
      </c>
      <c r="AB3">
        <f>HYPERLINK("https://klasma.github.io/Logging_0139/klagomålsmail/A 73783-2021 FSC-klagomål mail.docx", "A 73783-2021")</f>
        <v/>
      </c>
      <c r="AC3">
        <f>HYPERLINK("https://klasma.github.io/Logging_0139/tillsyn/A 73783-2021 tillsynsbegäran.docx", "A 73783-2021")</f>
        <v/>
      </c>
      <c r="AD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44552</v>
      </c>
      <c r="E4" s="1" t="n">
        <v>46270</v>
      </c>
      <c r="F4" t="inlineStr">
        <is>
          <t>STOCKHOLMS LÄN</t>
        </is>
      </c>
      <c r="G4" t="inlineStr">
        <is>
          <t>UPPLANDS-BRO</t>
        </is>
      </c>
      <c r="I4" t="n">
        <v>5.9</v>
      </c>
      <c r="J4" t="n">
        <v>0</v>
      </c>
      <c r="K4" t="n">
        <v>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4</v>
      </c>
      <c r="T4" t="n">
        <v>6</v>
      </c>
      <c r="U4" t="n">
        <v>1</v>
      </c>
      <c r="V4" s="2" t="inlineStr">
        <is>
          <t>Blek fingersvamp
Dofttaggsvamp
Skarp dropptaggsvamp
Svartvit taggsvamp</t>
        </is>
      </c>
      <c r="W4">
        <f>HYPERLINK("https://klasma.github.io/Logging_0139/artfynd/A 73783-2021 artfynd.xlsx", "A 73783-2021")</f>
        <v/>
      </c>
      <c r="X4">
        <f>HYPERLINK("https://klasma.github.io/Logging_0139/kartor/A 73783-2021 karta.png", "A 73783-2021")</f>
        <v/>
      </c>
      <c r="Y4">
        <f>HYPERLINK("https://klasma.github.io/Logging_0139/kartor_geotiff/A 73783-2021 georefererad karta.tif", "A 73783-2021")</f>
        <v/>
      </c>
      <c r="AA4">
        <f>HYPERLINK("https://klasma.github.io/Logging_0139/klagomål/A 73783-2021 FSC-klagomål.docx", "A 73783-2021")</f>
        <v/>
      </c>
      <c r="AB4">
        <f>HYPERLINK("https://klasma.github.io/Logging_0139/klagomålsmail/A 73783-2021 FSC-klagomål mail.docx", "A 73783-2021")</f>
        <v/>
      </c>
      <c r="AC4">
        <f>HYPERLINK("https://klasma.github.io/Logging_0139/tillsyn/A 73783-2021 tillsynsbegäran.docx", "A 73783-2021")</f>
        <v/>
      </c>
      <c r="AD4">
        <f>HYPERLINK("https://klasma.github.io/Logging_0139/tillsynsmail/A 73783-2021 tillsynsbegäran mail.docx", "A 73783-2021")</f>
        <v/>
      </c>
    </row>
    <row r="5" ht="15" customHeight="1">
      <c r="A5" t="inlineStr">
        <is>
          <t>A 55586-2023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45232</v>
      </c>
      <c r="E5" s="1" t="n">
        <v>46270</v>
      </c>
      <c r="F5" t="inlineStr">
        <is>
          <t>STOCKHOLMS LÄN</t>
        </is>
      </c>
      <c r="G5" t="inlineStr">
        <is>
          <t>UPPLANDS-BRO</t>
        </is>
      </c>
      <c r="H5" t="inlineStr">
        <is>
          <t>Övriga statliga verk och myndigheter</t>
        </is>
      </c>
      <c r="I5" t="n">
        <v>38.9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3</v>
      </c>
      <c r="T5" t="n">
        <v>4</v>
      </c>
      <c r="U5" t="n">
        <v>2</v>
      </c>
      <c r="V5" s="2" t="inlineStr">
        <is>
          <t>Fyrflikig jordstjärna
Nästrot
Blåsippa</t>
        </is>
      </c>
      <c r="W5">
        <f>HYPERLINK("https://klasma.github.io/Logging_0139/artfynd/A 55586-2023 artfynd.xlsx", "A 55586-2023")</f>
        <v/>
      </c>
      <c r="X5">
        <f>HYPERLINK("https://klasma.github.io/Logging_0139/kartor/A 55586-2023 karta.png", "A 55586-2023")</f>
        <v/>
      </c>
      <c r="Y5">
        <f>HYPERLINK("https://klasma.github.io/Logging_0139/kartor_geotiff/A 55586-2023 georefererad karta.tif", "A 55586-2023")</f>
        <v/>
      </c>
      <c r="AA5">
        <f>HYPERLINK("https://klasma.github.io/Logging_0139/klagomål/A 55586-2023 FSC-klagomål.docx", "A 55586-2023")</f>
        <v/>
      </c>
      <c r="AB5">
        <f>HYPERLINK("https://klasma.github.io/Logging_0139/klagomålsmail/A 55586-2023 FSC-klagomål mail.docx", "A 55586-2023")</f>
        <v/>
      </c>
      <c r="AC5">
        <f>HYPERLINK("https://klasma.github.io/Logging_0139/tillsyn/A 55586-2023 tillsynsbegäran.docx", "A 55586-2023")</f>
        <v/>
      </c>
      <c r="AD5">
        <f>HYPERLINK("https://klasma.github.io/Logging_0139/tillsynsmail/A 55586-2023 tillsynsbegäran mail.docx", "A 55586-2023")</f>
        <v/>
      </c>
    </row>
    <row r="6" ht="15" customHeight="1">
      <c r="A6" t="inlineStr">
        <is>
          <t>A 18772-2026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46128</v>
      </c>
      <c r="E6" s="1" t="n">
        <v>46270</v>
      </c>
      <c r="F6" t="inlineStr">
        <is>
          <t>STOCKHOLMS LÄN</t>
        </is>
      </c>
      <c r="G6" t="inlineStr">
        <is>
          <t>UPPLANDS-BRO</t>
        </is>
      </c>
      <c r="H6" t="inlineStr">
        <is>
          <t>Övriga statliga verk och myndigheter</t>
        </is>
      </c>
      <c r="I6" t="n">
        <v>19.5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Svedjenäva
Fläcknycklar</t>
        </is>
      </c>
      <c r="W6">
        <f>HYPERLINK("https://klasma.github.io/Logging_0139/artfynd/A 18772-2026 artfynd.xlsx", "A 18772-2026")</f>
        <v/>
      </c>
      <c r="X6">
        <f>HYPERLINK("https://klasma.github.io/Logging_0139/kartor/A 18772-2026 karta.png", "A 18772-2026")</f>
        <v/>
      </c>
      <c r="Y6">
        <f>HYPERLINK("https://klasma.github.io/Logging_0139/kartor_geotiff/A 18772-2026 georefererad karta.tif", "A 18772-2026")</f>
        <v/>
      </c>
      <c r="AA6">
        <f>HYPERLINK("https://klasma.github.io/Logging_0139/klagomål/A 18772-2026 FSC-klagomål.docx", "A 18772-2026")</f>
        <v/>
      </c>
      <c r="AB6">
        <f>HYPERLINK("https://klasma.github.io/Logging_0139/klagomålsmail/A 18772-2026 FSC-klagomål mail.docx", "A 18772-2026")</f>
        <v/>
      </c>
      <c r="AC6">
        <f>HYPERLINK("https://klasma.github.io/Logging_0139/tillsyn/A 18772-2026 tillsynsbegäran.docx", "A 18772-2026")</f>
        <v/>
      </c>
      <c r="AD6">
        <f>HYPERLINK("https://klasma.github.io/Logging_0139/tillsynsmail/A 18772-2026 tillsynsbegäran mail.docx", "A 18772-2026")</f>
        <v/>
      </c>
    </row>
    <row r="7" ht="15" customHeight="1">
      <c r="A7" t="inlineStr">
        <is>
          <t>A 18790-2026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46128</v>
      </c>
      <c r="E7" s="1" t="n">
        <v>46270</v>
      </c>
      <c r="F7" t="inlineStr">
        <is>
          <t>STOCKHOLMS LÄN</t>
        </is>
      </c>
      <c r="G7" t="inlineStr">
        <is>
          <t>UPPLANDS-BRO</t>
        </is>
      </c>
      <c r="H7" t="inlineStr">
        <is>
          <t>Övriga statliga verk och myndigheter</t>
        </is>
      </c>
      <c r="I7" t="n">
        <v>5.5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Fläcknycklar
Nattviol</t>
        </is>
      </c>
      <c r="W7">
        <f>HYPERLINK("https://klasma.github.io/Logging_0139/artfynd/A 18790-2026 artfynd.xlsx", "A 18790-2026")</f>
        <v/>
      </c>
      <c r="X7">
        <f>HYPERLINK("https://klasma.github.io/Logging_0139/kartor/A 18790-2026 karta.png", "A 18790-2026")</f>
        <v/>
      </c>
      <c r="Y7">
        <f>HYPERLINK("https://klasma.github.io/Logging_0139/kartor_geotiff/A 18790-2026 georefererad karta.tif", "A 18790-2026")</f>
        <v/>
      </c>
      <c r="AA7">
        <f>HYPERLINK("https://klasma.github.io/Logging_0139/klagomål/A 18790-2026 FSC-klagomål.docx", "A 18790-2026")</f>
        <v/>
      </c>
      <c r="AB7">
        <f>HYPERLINK("https://klasma.github.io/Logging_0139/klagomålsmail/A 18790-2026 FSC-klagomål mail.docx", "A 18790-2026")</f>
        <v/>
      </c>
      <c r="AC7">
        <f>HYPERLINK("https://klasma.github.io/Logging_0139/tillsyn/A 18790-2026 tillsynsbegäran.docx", "A 18790-2026")</f>
        <v/>
      </c>
      <c r="AD7">
        <f>HYPERLINK("https://klasma.github.io/Logging_0139/tillsynsmail/A 18790-2026 tillsynsbegäran mail.docx", "A 18790-2026")</f>
        <v/>
      </c>
    </row>
    <row r="8" ht="15" customHeight="1">
      <c r="A8" t="inlineStr">
        <is>
          <t>A 10909-2025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45722</v>
      </c>
      <c r="E8" s="1" t="n">
        <v>46270</v>
      </c>
      <c r="F8" t="inlineStr">
        <is>
          <t>STOCKHOLMS LÄN</t>
        </is>
      </c>
      <c r="G8" t="inlineStr">
        <is>
          <t>UPPLANDS-BRO</t>
        </is>
      </c>
      <c r="H8" t="inlineStr">
        <is>
          <t>Allmännings- och besparingsskogar</t>
        </is>
      </c>
      <c r="I8" t="n">
        <v>11.2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2</v>
      </c>
      <c r="V8" s="2" t="inlineStr">
        <is>
          <t>Arommusseron
Fläcknycklar</t>
        </is>
      </c>
      <c r="W8">
        <f>HYPERLINK("https://klasma.github.io/Logging_0139/artfynd/A 10909-2025 artfynd.xlsx", "A 10909-2025")</f>
        <v/>
      </c>
      <c r="X8">
        <f>HYPERLINK("https://klasma.github.io/Logging_0139/kartor/A 10909-2025 karta.png", "A 10909-2025")</f>
        <v/>
      </c>
      <c r="Y8">
        <f>HYPERLINK("https://klasma.github.io/Logging_0139/kartor_geotiff/A 10909-2025 georefererad karta.tif", "A 10909-2025")</f>
        <v/>
      </c>
      <c r="AA8">
        <f>HYPERLINK("https://klasma.github.io/Logging_0139/klagomål/A 10909-2025 FSC-klagomål.docx", "A 10909-2025")</f>
        <v/>
      </c>
      <c r="AB8">
        <f>HYPERLINK("https://klasma.github.io/Logging_0139/klagomålsmail/A 10909-2025 FSC-klagomål mail.docx", "A 10909-2025")</f>
        <v/>
      </c>
      <c r="AC8">
        <f>HYPERLINK("https://klasma.github.io/Logging_0139/tillsyn/A 10909-2025 tillsynsbegäran.docx", "A 10909-2025")</f>
        <v/>
      </c>
      <c r="AD8">
        <f>HYPERLINK("https://klasma.github.io/Logging_0139/tillsynsmail/A 10909-2025 tillsynsbegäran mail.docx", "A 10909-2025")</f>
        <v/>
      </c>
    </row>
    <row r="9" ht="15" customHeight="1">
      <c r="A9" t="inlineStr">
        <is>
          <t>S 800-2022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44603</v>
      </c>
      <c r="E9" s="1" t="n">
        <v>46270</v>
      </c>
      <c r="F9" t="inlineStr">
        <is>
          <t>STOCKHOLMS LÄN</t>
        </is>
      </c>
      <c r="G9" t="inlineStr">
        <is>
          <t>UPPLANDS-BRO</t>
        </is>
      </c>
      <c r="I9" t="n">
        <v>4.3</v>
      </c>
      <c r="J9" t="n">
        <v>1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7</v>
      </c>
      <c r="U9" t="n">
        <v>1</v>
      </c>
      <c r="V9" s="2" t="inlineStr">
        <is>
          <t>Ask
Mistel</t>
        </is>
      </c>
      <c r="W9">
        <f>HYPERLINK("https://klasma.github.io/Logging_0139/artfynd/S 800-2022 artfynd.xlsx", "S 800-2022")</f>
        <v/>
      </c>
      <c r="X9">
        <f>HYPERLINK("https://klasma.github.io/Logging_0139/kartor/S 800-2022 karta.png", "S 800-2022")</f>
        <v/>
      </c>
      <c r="Y9">
        <f>HYPERLINK("https://klasma.github.io/Logging_0139/kartor_geotiff/S 800-2022 georefererad karta.tif", "S 800-2022")</f>
        <v/>
      </c>
      <c r="AA9">
        <f>HYPERLINK("https://klasma.github.io/Logging_0139/klagomål/S 800-2022 FSC-klagomål.docx", "S 800-2022")</f>
        <v/>
      </c>
      <c r="AB9">
        <f>HYPERLINK("https://klasma.github.io/Logging_0139/klagomålsmail/S 800-2022 FSC-klagomål mail.docx", "S 800-2022")</f>
        <v/>
      </c>
      <c r="AC9">
        <f>HYPERLINK("https://klasma.github.io/Logging_0139/tillsyn/S 800-2022 tillsynsbegäran.docx", "S 800-2022")</f>
        <v/>
      </c>
      <c r="AD9">
        <f>HYPERLINK("https://klasma.github.io/Logging_0139/tillsynsmail/S 800-2022 tillsynsbegäran mail.docx", "S 800-2022")</f>
        <v/>
      </c>
    </row>
    <row r="10" ht="15" customHeight="1">
      <c r="A10" t="inlineStr">
        <is>
          <t>A 73787-2021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44552</v>
      </c>
      <c r="E10" s="1" t="n">
        <v>46270</v>
      </c>
      <c r="F10" t="inlineStr">
        <is>
          <t>STOCKHOLMS LÄN</t>
        </is>
      </c>
      <c r="G10" t="inlineStr">
        <is>
          <t>UPPLANDS-BRO</t>
        </is>
      </c>
      <c r="I10" t="n">
        <v>4.6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Dofttaggsvamp</t>
        </is>
      </c>
      <c r="W10">
        <f>HYPERLINK("https://klasma.github.io/Logging_0139/artfynd/A 73787-2021 artfynd.xlsx", "A 73787-2021")</f>
        <v/>
      </c>
      <c r="X10">
        <f>HYPERLINK("https://klasma.github.io/Logging_0139/kartor/A 73787-2021 karta.png", "A 73787-2021")</f>
        <v/>
      </c>
      <c r="Y10">
        <f>HYPERLINK("https://klasma.github.io/Logging_0139/kartor_geotiff/A 73787-2021 georefererad karta.tif", "A 73787-2021")</f>
        <v/>
      </c>
      <c r="AA10">
        <f>HYPERLINK("https://klasma.github.io/Logging_0139/klagomål/A 73787-2021 FSC-klagomål.docx", "A 73787-2021")</f>
        <v/>
      </c>
      <c r="AB10">
        <f>HYPERLINK("https://klasma.github.io/Logging_0139/klagomålsmail/A 73787-2021 FSC-klagomål mail.docx", "A 73787-2021")</f>
        <v/>
      </c>
      <c r="AC10">
        <f>HYPERLINK("https://klasma.github.io/Logging_0139/tillsyn/A 73787-2021 tillsynsbegäran.docx", "A 73787-2021")</f>
        <v/>
      </c>
      <c r="AD10">
        <f>HYPERLINK("https://klasma.github.io/Logging_0139/tillsynsmail/A 73787-2021 tillsynsbegäran mail.docx", "A 73787-2021")</f>
        <v/>
      </c>
    </row>
    <row r="11" ht="15" customHeight="1">
      <c r="A11" t="inlineStr">
        <is>
          <t>A 25561-2025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45803</v>
      </c>
      <c r="E11" s="1" t="n">
        <v>46270</v>
      </c>
      <c r="F11" t="inlineStr">
        <is>
          <t>STOCKHOLMS LÄN</t>
        </is>
      </c>
      <c r="G11" t="inlineStr">
        <is>
          <t>UPPLANDS-BRO</t>
        </is>
      </c>
      <c r="I11" t="n">
        <v>1.6</v>
      </c>
      <c r="J11" t="n">
        <v>1</v>
      </c>
      <c r="K11" t="n">
        <v>0</v>
      </c>
      <c r="L11" t="n">
        <v>0</v>
      </c>
      <c r="M11" t="n">
        <v>0</v>
      </c>
      <c r="N11" t="n">
        <v>1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0</v>
      </c>
      <c r="V11" s="2" t="inlineStr">
        <is>
          <t>Bombmurkla</t>
        </is>
      </c>
      <c r="W11">
        <f>HYPERLINK("https://klasma.github.io/Logging_0139/artfynd/A 25561-2025 artfynd.xlsx", "A 25561-2025")</f>
        <v/>
      </c>
      <c r="X11">
        <f>HYPERLINK("https://klasma.github.io/Logging_0139/kartor/A 25561-2025 karta.png", "A 25561-2025")</f>
        <v/>
      </c>
      <c r="Y11">
        <f>HYPERLINK("https://klasma.github.io/Logging_0139/kartor_geotiff/A 25561-2025 georefererad karta.tif", "A 25561-2025")</f>
        <v/>
      </c>
      <c r="AA11">
        <f>HYPERLINK("https://klasma.github.io/Logging_0139/klagomål/A 25561-2025 FSC-klagomål.docx", "A 25561-2025")</f>
        <v/>
      </c>
      <c r="AB11">
        <f>HYPERLINK("https://klasma.github.io/Logging_0139/klagomålsmail/A 25561-2025 FSC-klagomål mail.docx", "A 25561-2025")</f>
        <v/>
      </c>
      <c r="AC11">
        <f>HYPERLINK("https://klasma.github.io/Logging_0139/tillsyn/A 25561-2025 tillsynsbegäran.docx", "A 25561-2025")</f>
        <v/>
      </c>
      <c r="AD11">
        <f>HYPERLINK("https://klasma.github.io/Logging_0139/tillsynsmail/A 25561-2025 tillsynsbegäran mail.docx", "A 25561-2025")</f>
        <v/>
      </c>
    </row>
    <row r="12" ht="15" customHeight="1">
      <c r="A12" t="inlineStr">
        <is>
          <t>A 73773-2021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44552</v>
      </c>
      <c r="E12" s="1" t="n">
        <v>46270</v>
      </c>
      <c r="F12" t="inlineStr">
        <is>
          <t>STOCKHOLMS LÄN</t>
        </is>
      </c>
      <c r="G12" t="inlineStr">
        <is>
          <t>UPPLANDS-BRO</t>
        </is>
      </c>
      <c r="I12" t="n">
        <v>1.9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Kopparödla</t>
        </is>
      </c>
      <c r="W12">
        <f>HYPERLINK("https://klasma.github.io/Logging_0139/artfynd/A 73773-2021 artfynd.xlsx", "A 73773-2021")</f>
        <v/>
      </c>
      <c r="X12">
        <f>HYPERLINK("https://klasma.github.io/Logging_0139/kartor/A 73773-2021 karta.png", "A 73773-2021")</f>
        <v/>
      </c>
      <c r="Y12">
        <f>HYPERLINK("https://klasma.github.io/Logging_0139/kartor_geotiff/A 73773-2021 georefererad karta.tif", "A 73773-2021")</f>
        <v/>
      </c>
      <c r="AA12">
        <f>HYPERLINK("https://klasma.github.io/Logging_0139/klagomål/A 73773-2021 FSC-klagomål.docx", "A 73773-2021")</f>
        <v/>
      </c>
      <c r="AB12">
        <f>HYPERLINK("https://klasma.github.io/Logging_0139/klagomålsmail/A 73773-2021 FSC-klagomål mail.docx", "A 73773-2021")</f>
        <v/>
      </c>
      <c r="AC12">
        <f>HYPERLINK("https://klasma.github.io/Logging_0139/tillsyn/A 73773-2021 tillsynsbegäran.docx", "A 73773-2021")</f>
        <v/>
      </c>
      <c r="AD12">
        <f>HYPERLINK("https://klasma.github.io/Logging_0139/tillsynsmail/A 73773-2021 tillsynsbegäran mail.docx", "A 73773-2021")</f>
        <v/>
      </c>
    </row>
    <row r="13" ht="15" customHeight="1">
      <c r="A13" t="inlineStr">
        <is>
          <t>A 12363-2025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45730</v>
      </c>
      <c r="E13" s="1" t="n">
        <v>46270</v>
      </c>
      <c r="F13" t="inlineStr">
        <is>
          <t>STOCKHOLMS LÄN</t>
        </is>
      </c>
      <c r="G13" t="inlineStr">
        <is>
          <t>UPPLANDS-BRO</t>
        </is>
      </c>
      <c r="I13" t="n">
        <v>0.8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Nästrot</t>
        </is>
      </c>
      <c r="W13">
        <f>HYPERLINK("https://klasma.github.io/Logging_0139/artfynd/A 12363-2025 artfynd.xlsx", "A 12363-2025")</f>
        <v/>
      </c>
      <c r="X13">
        <f>HYPERLINK("https://klasma.github.io/Logging_0139/kartor/A 12363-2025 karta.png", "A 12363-2025")</f>
        <v/>
      </c>
      <c r="Y13">
        <f>HYPERLINK("https://klasma.github.io/Logging_0139/kartor_geotiff/A 12363-2025 georefererad karta.tif", "A 12363-2025")</f>
        <v/>
      </c>
      <c r="AA13">
        <f>HYPERLINK("https://klasma.github.io/Logging_0139/klagomål/A 12363-2025 FSC-klagomål.docx", "A 12363-2025")</f>
        <v/>
      </c>
      <c r="AB13">
        <f>HYPERLINK("https://klasma.github.io/Logging_0139/klagomålsmail/A 12363-2025 FSC-klagomål mail.docx", "A 12363-2025")</f>
        <v/>
      </c>
      <c r="AC13">
        <f>HYPERLINK("https://klasma.github.io/Logging_0139/tillsyn/A 12363-2025 tillsynsbegäran.docx", "A 12363-2025")</f>
        <v/>
      </c>
      <c r="AD13">
        <f>HYPERLINK("https://klasma.github.io/Logging_0139/tillsynsmail/A 12363-2025 tillsynsbegäran mail.docx", "A 12363-2025")</f>
        <v/>
      </c>
    </row>
    <row r="14" ht="15" customHeight="1">
      <c r="A14" t="inlineStr">
        <is>
          <t>A 2409-2026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46034</v>
      </c>
      <c r="E14" s="1" t="n">
        <v>46270</v>
      </c>
      <c r="F14" t="inlineStr">
        <is>
          <t>STOCKHOLMS LÄN</t>
        </is>
      </c>
      <c r="G14" t="inlineStr">
        <is>
          <t>UPPLANDS-BRO</t>
        </is>
      </c>
      <c r="I14" t="n">
        <v>14.2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Havsörn</t>
        </is>
      </c>
      <c r="W14">
        <f>HYPERLINK("https://klasma.github.io/Logging_0139/artfynd/A 2409-2026 artfynd.xlsx", "A 2409-2026")</f>
        <v/>
      </c>
      <c r="X14">
        <f>HYPERLINK("https://klasma.github.io/Logging_0139/kartor/A 2409-2026 karta.png", "A 2409-2026")</f>
        <v/>
      </c>
      <c r="Y14">
        <f>HYPERLINK("https://klasma.github.io/Logging_0139/kartor_geotiff/A 2409-2026 georefererad karta.tif", "A 2409-2026")</f>
        <v/>
      </c>
      <c r="AA14">
        <f>HYPERLINK("https://klasma.github.io/Logging_0139/klagomål/A 2409-2026 FSC-klagomål.docx", "A 2409-2026")</f>
        <v/>
      </c>
      <c r="AB14">
        <f>HYPERLINK("https://klasma.github.io/Logging_0139/klagomålsmail/A 2409-2026 FSC-klagomål mail.docx", "A 2409-2026")</f>
        <v/>
      </c>
      <c r="AC14">
        <f>HYPERLINK("https://klasma.github.io/Logging_0139/tillsyn/A 2409-2026 tillsynsbegäran.docx", "A 2409-2026")</f>
        <v/>
      </c>
      <c r="AD14">
        <f>HYPERLINK("https://klasma.github.io/Logging_0139/tillsynsmail/A 2409-2026 tillsynsbegäran mail.docx", "A 2409-2026")</f>
        <v/>
      </c>
      <c r="AE14">
        <f>HYPERLINK("https://klasma.github.io/Logging_0139/fåglar/A 2409-2026 prioriterade fågelarter.docx", "A 2409-2026")</f>
        <v/>
      </c>
    </row>
    <row r="15" ht="15" customHeight="1">
      <c r="A15" t="inlineStr">
        <is>
          <t>A 53357-2025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45959</v>
      </c>
      <c r="E15" s="1" t="n">
        <v>46270</v>
      </c>
      <c r="F15" t="inlineStr">
        <is>
          <t>STOCKHOLMS LÄN</t>
        </is>
      </c>
      <c r="G15" t="inlineStr">
        <is>
          <t>UPPLANDS-BRO</t>
        </is>
      </c>
      <c r="I15" t="n">
        <v>2.4</v>
      </c>
      <c r="J15" t="n">
        <v>1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4</v>
      </c>
      <c r="U15" t="n">
        <v>0</v>
      </c>
      <c r="V15" s="2" t="inlineStr">
        <is>
          <t>Bombmurkla</t>
        </is>
      </c>
      <c r="W15">
        <f>HYPERLINK("https://klasma.github.io/Logging_0139/artfynd/A 53357-2025 artfynd.xlsx", "A 53357-2025")</f>
        <v/>
      </c>
      <c r="X15">
        <f>HYPERLINK("https://klasma.github.io/Logging_0139/kartor/A 53357-2025 karta.png", "A 53357-2025")</f>
        <v/>
      </c>
      <c r="Y15">
        <f>HYPERLINK("https://klasma.github.io/Logging_0139/kartor_geotiff/A 53357-2025 georefererad karta.tif", "A 53357-2025")</f>
        <v/>
      </c>
      <c r="AA15">
        <f>HYPERLINK("https://klasma.github.io/Logging_0139/klagomål/A 53357-2025 FSC-klagomål.docx", "A 53357-2025")</f>
        <v/>
      </c>
      <c r="AB15">
        <f>HYPERLINK("https://klasma.github.io/Logging_0139/klagomålsmail/A 53357-2025 FSC-klagomål mail.docx", "A 53357-2025")</f>
        <v/>
      </c>
      <c r="AC15">
        <f>HYPERLINK("https://klasma.github.io/Logging_0139/tillsyn/A 53357-2025 tillsynsbegäran.docx", "A 53357-2025")</f>
        <v/>
      </c>
      <c r="AD15">
        <f>HYPERLINK("https://klasma.github.io/Logging_0139/tillsynsmail/A 53357-2025 tillsynsbegäran mail.docx", "A 53357-2025")</f>
        <v/>
      </c>
    </row>
    <row r="16" ht="15" customHeight="1">
      <c r="A16" t="inlineStr">
        <is>
          <t>A 23099-2024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45450</v>
      </c>
      <c r="E16" s="1" t="n">
        <v>46270</v>
      </c>
      <c r="F16" t="inlineStr">
        <is>
          <t>STOCKHOLMS LÄN</t>
        </is>
      </c>
      <c r="G16" t="inlineStr">
        <is>
          <t>UPPLANDS-BRO</t>
        </is>
      </c>
      <c r="H16" t="inlineStr">
        <is>
          <t>Övriga statliga verk och myndigheter</t>
        </is>
      </c>
      <c r="I16" t="n">
        <v>0.7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s="2" t="inlineStr">
        <is>
          <t>Bredbrämad bastardsvärmare</t>
        </is>
      </c>
      <c r="W16">
        <f>HYPERLINK("https://klasma.github.io/Logging_0139/artfynd/A 23099-2024 artfynd.xlsx", "A 23099-2024")</f>
        <v/>
      </c>
      <c r="X16">
        <f>HYPERLINK("https://klasma.github.io/Logging_0139/kartor/A 23099-2024 karta.png", "A 23099-2024")</f>
        <v/>
      </c>
      <c r="Y16">
        <f>HYPERLINK("https://klasma.github.io/Logging_0139/kartor_geotiff/A 23099-2024 georefererad karta.tif", "A 23099-2024")</f>
        <v/>
      </c>
      <c r="AA16">
        <f>HYPERLINK("https://klasma.github.io/Logging_0139/klagomål/A 23099-2024 FSC-klagomål.docx", "A 23099-2024")</f>
        <v/>
      </c>
      <c r="AB16">
        <f>HYPERLINK("https://klasma.github.io/Logging_0139/klagomålsmail/A 23099-2024 FSC-klagomål mail.docx", "A 23099-2024")</f>
        <v/>
      </c>
      <c r="AC16">
        <f>HYPERLINK("https://klasma.github.io/Logging_0139/tillsyn/A 23099-2024 tillsynsbegäran.docx", "A 23099-2024")</f>
        <v/>
      </c>
      <c r="AD16">
        <f>HYPERLINK("https://klasma.github.io/Logging_0139/tillsynsmail/A 23099-2024 tillsynsbegäran mail.docx", "A 23099-2024")</f>
        <v/>
      </c>
    </row>
    <row r="17" ht="15" customHeight="1">
      <c r="A17" t="inlineStr">
        <is>
          <t>A 46438-2023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45197</v>
      </c>
      <c r="E17" s="1" t="n">
        <v>46270</v>
      </c>
      <c r="F17" t="inlineStr">
        <is>
          <t>STOCKHOLMS LÄN</t>
        </is>
      </c>
      <c r="G17" t="inlineStr">
        <is>
          <t>UPPLANDS-BRO</t>
        </is>
      </c>
      <c r="I17" t="n">
        <v>0.5</v>
      </c>
      <c r="J17" t="n">
        <v>1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Bombmurkla</t>
        </is>
      </c>
      <c r="W17">
        <f>HYPERLINK("https://klasma.github.io/Logging_0139/artfynd/A 46438-2023 artfynd.xlsx", "A 46438-2023")</f>
        <v/>
      </c>
      <c r="X17">
        <f>HYPERLINK("https://klasma.github.io/Logging_0139/kartor/A 46438-2023 karta.png", "A 46438-2023")</f>
        <v/>
      </c>
      <c r="Y17">
        <f>HYPERLINK("https://klasma.github.io/Logging_0139/kartor_geotiff/A 46438-2023 georefererad karta.tif", "A 46438-2023")</f>
        <v/>
      </c>
      <c r="AA17">
        <f>HYPERLINK("https://klasma.github.io/Logging_0139/klagomål/A 46438-2023 FSC-klagomål.docx", "A 46438-2023")</f>
        <v/>
      </c>
      <c r="AB17">
        <f>HYPERLINK("https://klasma.github.io/Logging_0139/klagomålsmail/A 46438-2023 FSC-klagomål mail.docx", "A 46438-2023")</f>
        <v/>
      </c>
      <c r="AC17">
        <f>HYPERLINK("https://klasma.github.io/Logging_0139/tillsyn/A 46438-2023 tillsynsbegäran.docx", "A 46438-2023")</f>
        <v/>
      </c>
      <c r="AD17">
        <f>HYPERLINK("https://klasma.github.io/Logging_0139/tillsynsmail/A 46438-2023 tillsynsbegäran mail.docx", "A 46438-2023")</f>
        <v/>
      </c>
    </row>
    <row r="18" ht="15" customHeight="1">
      <c r="A18" t="inlineStr">
        <is>
          <t>A 11447-2025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45726</v>
      </c>
      <c r="E18" s="1" t="n">
        <v>46270</v>
      </c>
      <c r="F18" t="inlineStr">
        <is>
          <t>STOCKHOLMS LÄN</t>
        </is>
      </c>
      <c r="G18" t="inlineStr">
        <is>
          <t>UPPLANDS-BRO</t>
        </is>
      </c>
      <c r="I18" t="n">
        <v>1.5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Myskbock</t>
        </is>
      </c>
      <c r="W18">
        <f>HYPERLINK("https://klasma.github.io/Logging_0139/artfynd/A 11447-2025 artfynd.xlsx", "A 11447-2025")</f>
        <v/>
      </c>
      <c r="X18">
        <f>HYPERLINK("https://klasma.github.io/Logging_0139/kartor/A 11447-2025 karta.png", "A 11447-2025")</f>
        <v/>
      </c>
      <c r="Y18">
        <f>HYPERLINK("https://klasma.github.io/Logging_0139/kartor_geotiff/A 11447-2025 georefererad karta.tif", "A 11447-2025")</f>
        <v/>
      </c>
      <c r="AA18">
        <f>HYPERLINK("https://klasma.github.io/Logging_0139/klagomål/A 11447-2025 FSC-klagomål.docx", "A 11447-2025")</f>
        <v/>
      </c>
      <c r="AB18">
        <f>HYPERLINK("https://klasma.github.io/Logging_0139/klagomålsmail/A 11447-2025 FSC-klagomål mail.docx", "A 11447-2025")</f>
        <v/>
      </c>
      <c r="AC18">
        <f>HYPERLINK("https://klasma.github.io/Logging_0139/tillsyn/A 11447-2025 tillsynsbegäran.docx", "A 11447-2025")</f>
        <v/>
      </c>
      <c r="AD18">
        <f>HYPERLINK("https://klasma.github.io/Logging_0139/tillsynsmail/A 11447-2025 tillsynsbegäran mail.docx", "A 11447-2025")</f>
        <v/>
      </c>
    </row>
    <row r="19" ht="15" customHeight="1">
      <c r="A19" t="inlineStr">
        <is>
          <t>A 7955-2023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44973</v>
      </c>
      <c r="E19" s="1" t="n">
        <v>46270</v>
      </c>
      <c r="F19" t="inlineStr">
        <is>
          <t>STOCKHOLMS LÄN</t>
        </is>
      </c>
      <c r="G19" t="inlineStr">
        <is>
          <t>UPPLANDS-BRO</t>
        </is>
      </c>
      <c r="I19" t="n">
        <v>2.9</v>
      </c>
      <c r="J19" t="n">
        <v>1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1</v>
      </c>
      <c r="V19" s="2" t="inlineStr">
        <is>
          <t>Bombmurkla</t>
        </is>
      </c>
      <c r="W19">
        <f>HYPERLINK("https://klasma.github.io/Logging_0139/artfynd/A 7955-2023 artfynd.xlsx", "A 7955-2023")</f>
        <v/>
      </c>
      <c r="X19">
        <f>HYPERLINK("https://klasma.github.io/Logging_0139/kartor/A 7955-2023 karta.png", "A 7955-2023")</f>
        <v/>
      </c>
      <c r="Y19">
        <f>HYPERLINK("https://klasma.github.io/Logging_0139/kartor_geotiff/A 7955-2023 georefererad karta.tif", "A 7955-2023")</f>
        <v/>
      </c>
      <c r="AA19">
        <f>HYPERLINK("https://klasma.github.io/Logging_0139/klagomål/A 7955-2023 FSC-klagomål.docx", "A 7955-2023")</f>
        <v/>
      </c>
      <c r="AB19">
        <f>HYPERLINK("https://klasma.github.io/Logging_0139/klagomålsmail/A 7955-2023 FSC-klagomål mail.docx", "A 7955-2023")</f>
        <v/>
      </c>
      <c r="AC19">
        <f>HYPERLINK("https://klasma.github.io/Logging_0139/tillsyn/A 7955-2023 tillsynsbegäran.docx", "A 7955-2023")</f>
        <v/>
      </c>
      <c r="AD19">
        <f>HYPERLINK("https://klasma.github.io/Logging_0139/tillsynsmail/A 7955-2023 tillsynsbegäran mail.docx", "A 7955-2023")</f>
        <v/>
      </c>
    </row>
    <row r="20" ht="15" customHeight="1">
      <c r="A20" t="inlineStr">
        <is>
          <t>A 26637-2026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46184</v>
      </c>
      <c r="E20" s="1" t="n">
        <v>46270</v>
      </c>
      <c r="F20" t="inlineStr">
        <is>
          <t>STOCKHOLMS LÄN</t>
        </is>
      </c>
      <c r="G20" t="inlineStr">
        <is>
          <t>UPPLANDS-BRO</t>
        </is>
      </c>
      <c r="I20" t="n">
        <v>5.4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Igelkott</t>
        </is>
      </c>
      <c r="W20">
        <f>HYPERLINK("https://klasma.github.io/Logging_0139/artfynd/A 26637-2026 artfynd.xlsx", "A 26637-2026")</f>
        <v/>
      </c>
      <c r="X20">
        <f>HYPERLINK("https://klasma.github.io/Logging_0139/kartor/A 26637-2026 karta.png", "A 26637-2026")</f>
        <v/>
      </c>
      <c r="Y20">
        <f>HYPERLINK("https://klasma.github.io/Logging_0139/kartor_geotiff/A 26637-2026 georefererad karta.tif", "A 26637-2026")</f>
        <v/>
      </c>
      <c r="AA20">
        <f>HYPERLINK("https://klasma.github.io/Logging_0139/klagomål/A 26637-2026 FSC-klagomål.docx", "A 26637-2026")</f>
        <v/>
      </c>
      <c r="AB20">
        <f>HYPERLINK("https://klasma.github.io/Logging_0139/klagomålsmail/A 26637-2026 FSC-klagomål mail.docx", "A 26637-2026")</f>
        <v/>
      </c>
      <c r="AC20">
        <f>HYPERLINK("https://klasma.github.io/Logging_0139/tillsyn/A 26637-2026 tillsynsbegäran.docx", "A 26637-2026")</f>
        <v/>
      </c>
      <c r="AD20">
        <f>HYPERLINK("https://klasma.github.io/Logging_0139/tillsynsmail/A 26637-2026 tillsynsbegäran mail.docx", "A 26637-2026")</f>
        <v/>
      </c>
    </row>
    <row r="21" ht="15" customHeight="1">
      <c r="A21" t="inlineStr">
        <is>
          <t>A 26623-2026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46184</v>
      </c>
      <c r="E21" s="1" t="n">
        <v>46270</v>
      </c>
      <c r="F21" t="inlineStr">
        <is>
          <t>STOCKHOLMS LÄN</t>
        </is>
      </c>
      <c r="G21" t="inlineStr">
        <is>
          <t>UPPLANDS-BRO</t>
        </is>
      </c>
      <c r="I21" t="n">
        <v>4.6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Svartöra</t>
        </is>
      </c>
      <c r="W21">
        <f>HYPERLINK("https://klasma.github.io/Logging_0139/artfynd/A 26623-2026 artfynd.xlsx", "A 26623-2026")</f>
        <v/>
      </c>
      <c r="X21">
        <f>HYPERLINK("https://klasma.github.io/Logging_0139/kartor/A 26623-2026 karta.png", "A 26623-2026")</f>
        <v/>
      </c>
      <c r="Y21">
        <f>HYPERLINK("https://klasma.github.io/Logging_0139/kartor_geotiff/A 26623-2026 georefererad karta.tif", "A 26623-2026")</f>
        <v/>
      </c>
      <c r="AA21">
        <f>HYPERLINK("https://klasma.github.io/Logging_0139/klagomål/A 26623-2026 FSC-klagomål.docx", "A 26623-2026")</f>
        <v/>
      </c>
      <c r="AB21">
        <f>HYPERLINK("https://klasma.github.io/Logging_0139/klagomålsmail/A 26623-2026 FSC-klagomål mail.docx", "A 26623-2026")</f>
        <v/>
      </c>
      <c r="AC21">
        <f>HYPERLINK("https://klasma.github.io/Logging_0139/tillsyn/A 26623-2026 tillsynsbegäran.docx", "A 26623-2026")</f>
        <v/>
      </c>
      <c r="AD21">
        <f>HYPERLINK("https://klasma.github.io/Logging_0139/tillsynsmail/A 26623-2026 tillsynsbegäran mail.docx", "A 26623-2026")</f>
        <v/>
      </c>
    </row>
    <row r="22" ht="15" customHeight="1">
      <c r="A22" t="inlineStr">
        <is>
          <t>A 64098-2023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45279</v>
      </c>
      <c r="E22" s="1" t="n">
        <v>46270</v>
      </c>
      <c r="F22" t="inlineStr">
        <is>
          <t>STOCKHOLMS LÄN</t>
        </is>
      </c>
      <c r="G22" t="inlineStr">
        <is>
          <t>UPPLANDS-BRO</t>
        </is>
      </c>
      <c r="I22" t="n">
        <v>0.3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Skogsalmsdvärgmal</t>
        </is>
      </c>
      <c r="W22">
        <f>HYPERLINK("https://klasma.github.io/Logging_0139/artfynd/A 64098-2023 artfynd.xlsx", "A 64098-2023")</f>
        <v/>
      </c>
      <c r="X22">
        <f>HYPERLINK("https://klasma.github.io/Logging_0139/kartor/A 64098-2023 karta.png", "A 64098-2023")</f>
        <v/>
      </c>
      <c r="Y22">
        <f>HYPERLINK("https://klasma.github.io/Logging_0139/kartor_geotiff/A 64098-2023 georefererad karta.tif", "A 64098-2023")</f>
        <v/>
      </c>
      <c r="AA22">
        <f>HYPERLINK("https://klasma.github.io/Logging_0139/klagomål/A 64098-2023 FSC-klagomål.docx", "A 64098-2023")</f>
        <v/>
      </c>
      <c r="AB22">
        <f>HYPERLINK("https://klasma.github.io/Logging_0139/klagomålsmail/A 64098-2023 FSC-klagomål mail.docx", "A 64098-2023")</f>
        <v/>
      </c>
      <c r="AC22">
        <f>HYPERLINK("https://klasma.github.io/Logging_0139/tillsyn/A 64098-2023 tillsynsbegäran.docx", "A 64098-2023")</f>
        <v/>
      </c>
      <c r="AD22">
        <f>HYPERLINK("https://klasma.github.io/Logging_0139/tillsynsmail/A 64098-2023 tillsynsbegäran mail.docx", "A 64098-2023")</f>
        <v/>
      </c>
    </row>
    <row r="23" ht="15" customHeight="1">
      <c r="A23" t="inlineStr">
        <is>
          <t>A 2062-2025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45671</v>
      </c>
      <c r="E23" s="1" t="n">
        <v>46270</v>
      </c>
      <c r="F23" t="inlineStr">
        <is>
          <t>STOCKHOLMS LÄN</t>
        </is>
      </c>
      <c r="G23" t="inlineStr">
        <is>
          <t>UPPLANDS-BRO</t>
        </is>
      </c>
      <c r="I23" t="n">
        <v>1.9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Mindre hackspett</t>
        </is>
      </c>
      <c r="W23">
        <f>HYPERLINK("https://klasma.github.io/Logging_0139/artfynd/A 2062-2025 artfynd.xlsx", "A 2062-2025")</f>
        <v/>
      </c>
      <c r="X23">
        <f>HYPERLINK("https://klasma.github.io/Logging_0139/kartor/A 2062-2025 karta.png", "A 2062-2025")</f>
        <v/>
      </c>
      <c r="Y23">
        <f>HYPERLINK("https://klasma.github.io/Logging_0139/kartor_geotiff/A 2062-2025 georefererad karta.tif", "A 2062-2025")</f>
        <v/>
      </c>
      <c r="AA23">
        <f>HYPERLINK("https://klasma.github.io/Logging_0139/klagomål/A 2062-2025 FSC-klagomål.docx", "A 2062-2025")</f>
        <v/>
      </c>
      <c r="AB23">
        <f>HYPERLINK("https://klasma.github.io/Logging_0139/klagomålsmail/A 2062-2025 FSC-klagomål mail.docx", "A 2062-2025")</f>
        <v/>
      </c>
      <c r="AC23">
        <f>HYPERLINK("https://klasma.github.io/Logging_0139/tillsyn/A 2062-2025 tillsynsbegäran.docx", "A 2062-2025")</f>
        <v/>
      </c>
      <c r="AD23">
        <f>HYPERLINK("https://klasma.github.io/Logging_0139/tillsynsmail/A 2062-2025 tillsynsbegäran mail.docx", "A 2062-2025")</f>
        <v/>
      </c>
      <c r="AE23">
        <f>HYPERLINK("https://klasma.github.io/Logging_0139/fåglar/A 2062-2025 prioriterade fågelarter.docx", "A 2062-2025")</f>
        <v/>
      </c>
    </row>
    <row r="24" ht="15" customHeight="1">
      <c r="A24" t="inlineStr">
        <is>
          <t>S 10446-2021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44558</v>
      </c>
      <c r="E24" s="1" t="n">
        <v>46270</v>
      </c>
      <c r="F24" t="inlineStr">
        <is>
          <t>STOCKHOLMS LÄN</t>
        </is>
      </c>
      <c r="G24" t="inlineStr">
        <is>
          <t>UPPLANDS-BRO</t>
        </is>
      </c>
      <c r="I24" t="n">
        <v>3.2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2</v>
      </c>
      <c r="U24" t="n">
        <v>0</v>
      </c>
      <c r="V24" s="2" t="inlineStr">
        <is>
          <t>Korskovall</t>
        </is>
      </c>
      <c r="W24">
        <f>HYPERLINK("https://klasma.github.io/Logging_0139/artfynd/S 10446-2021 artfynd.xlsx", "S 10446-2021")</f>
        <v/>
      </c>
      <c r="X24">
        <f>HYPERLINK("https://klasma.github.io/Logging_0139/kartor/S 10446-2021 karta.png", "S 10446-2021")</f>
        <v/>
      </c>
      <c r="Y24">
        <f>HYPERLINK("https://klasma.github.io/Logging_0139/kartor_geotiff/S 10446-2021 georefererad karta.tif", "S 10446-2021")</f>
        <v/>
      </c>
      <c r="AA24">
        <f>HYPERLINK("https://klasma.github.io/Logging_0139/klagomål/S 10446-2021 FSC-klagomål.docx", "S 10446-2021")</f>
        <v/>
      </c>
      <c r="AB24">
        <f>HYPERLINK("https://klasma.github.io/Logging_0139/klagomålsmail/S 10446-2021 FSC-klagomål mail.docx", "S 10446-2021")</f>
        <v/>
      </c>
      <c r="AC24">
        <f>HYPERLINK("https://klasma.github.io/Logging_0139/tillsyn/S 10446-2021 tillsynsbegäran.docx", "S 10446-2021")</f>
        <v/>
      </c>
      <c r="AD24">
        <f>HYPERLINK("https://klasma.github.io/Logging_0139/tillsynsmail/S 10446-2021 tillsynsbegäran mail.docx", "S 10446-2021")</f>
        <v/>
      </c>
    </row>
    <row r="25" ht="15" customHeight="1">
      <c r="A25" t="inlineStr">
        <is>
          <t>A 8261-2022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44609</v>
      </c>
      <c r="E25" s="1" t="n">
        <v>46270</v>
      </c>
      <c r="F25" t="inlineStr">
        <is>
          <t>STOCKHOLMS LÄN</t>
        </is>
      </c>
      <c r="G25" t="inlineStr">
        <is>
          <t>UPPLANDS-BRO</t>
        </is>
      </c>
      <c r="I25" t="n">
        <v>0.8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58663-2021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44489</v>
      </c>
      <c r="E26" s="1" t="n">
        <v>46270</v>
      </c>
      <c r="F26" t="inlineStr">
        <is>
          <t>STOCKHOLMS LÄN</t>
        </is>
      </c>
      <c r="G26" t="inlineStr">
        <is>
          <t>UPPLANDS-BRO</t>
        </is>
      </c>
      <c r="H26" t="inlineStr">
        <is>
          <t>Övriga statliga verk och myndigheter</t>
        </is>
      </c>
      <c r="I26" t="n">
        <v>4.3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72523-2021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44546</v>
      </c>
      <c r="E27" s="1" t="n">
        <v>46270</v>
      </c>
      <c r="F27" t="inlineStr">
        <is>
          <t>STOCKHOLMS LÄN</t>
        </is>
      </c>
      <c r="G27" t="inlineStr">
        <is>
          <t>UPPLANDS-BRO</t>
        </is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20604-2022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44700</v>
      </c>
      <c r="E28" s="1" t="n">
        <v>46270</v>
      </c>
      <c r="F28" t="inlineStr">
        <is>
          <t>STOCKHOLMS LÄN</t>
        </is>
      </c>
      <c r="G28" t="inlineStr">
        <is>
          <t>UPPLANDS-BRO</t>
        </is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3838-2022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44587</v>
      </c>
      <c r="E29" s="1" t="n">
        <v>46270</v>
      </c>
      <c r="F29" t="inlineStr">
        <is>
          <t>STOCKHOLMS LÄN</t>
        </is>
      </c>
      <c r="G29" t="inlineStr">
        <is>
          <t>UPPLANDS-BRO</t>
        </is>
      </c>
      <c r="I29" t="n">
        <v>2.9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14719-2022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44655</v>
      </c>
      <c r="E30" s="1" t="n">
        <v>46270</v>
      </c>
      <c r="F30" t="inlineStr">
        <is>
          <t>STOCKHOLMS LÄN</t>
        </is>
      </c>
      <c r="G30" t="inlineStr">
        <is>
          <t>UPPLANDS-BRO</t>
        </is>
      </c>
      <c r="H30" t="inlineStr">
        <is>
          <t>Allmännings- och besparingsskogar</t>
        </is>
      </c>
      <c r="I30" t="n">
        <v>1.2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59844-2022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44901</v>
      </c>
      <c r="E31" s="1" t="n">
        <v>46270</v>
      </c>
      <c r="F31" t="inlineStr">
        <is>
          <t>STOCKHOLMS LÄN</t>
        </is>
      </c>
      <c r="G31" t="inlineStr">
        <is>
          <t>UPPLANDS-BRO</t>
        </is>
      </c>
      <c r="H31" t="inlineStr">
        <is>
          <t>Övriga statliga verk och myndigheter</t>
        </is>
      </c>
      <c r="I31" t="n">
        <v>11.9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2602-2024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45313</v>
      </c>
      <c r="E32" s="1" t="n">
        <v>46270</v>
      </c>
      <c r="F32" t="inlineStr">
        <is>
          <t>STOCKHOLMS LÄN</t>
        </is>
      </c>
      <c r="G32" t="inlineStr">
        <is>
          <t>UPPLANDS-BRO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64105-2023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45279</v>
      </c>
      <c r="E33" s="1" t="n">
        <v>46270</v>
      </c>
      <c r="F33" t="inlineStr">
        <is>
          <t>STOCKHOLMS LÄN</t>
        </is>
      </c>
      <c r="G33" t="inlineStr">
        <is>
          <t>UPPLANDS-BRO</t>
        </is>
      </c>
      <c r="I33" t="n">
        <v>2.2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3630-2023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44950</v>
      </c>
      <c r="E34" s="1" t="n">
        <v>46270</v>
      </c>
      <c r="F34" t="inlineStr">
        <is>
          <t>STOCKHOLMS LÄN</t>
        </is>
      </c>
      <c r="G34" t="inlineStr">
        <is>
          <t>UPPLANDS-BRO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23093-2024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45450</v>
      </c>
      <c r="E35" s="1" t="n">
        <v>46270</v>
      </c>
      <c r="F35" t="inlineStr">
        <is>
          <t>STOCKHOLMS LÄN</t>
        </is>
      </c>
      <c r="G35" t="inlineStr">
        <is>
          <t>UPPLANDS-BRO</t>
        </is>
      </c>
      <c r="H35" t="inlineStr">
        <is>
          <t>Övriga statliga verk och myndigheter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54222-2023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45225</v>
      </c>
      <c r="E36" s="1" t="n">
        <v>46270</v>
      </c>
      <c r="F36" t="inlineStr">
        <is>
          <t>STOCKHOLMS LÄN</t>
        </is>
      </c>
      <c r="G36" t="inlineStr">
        <is>
          <t>UPPLANDS-BRO</t>
        </is>
      </c>
      <c r="H36" t="inlineStr">
        <is>
          <t>Övriga statliga verk och myndigheter</t>
        </is>
      </c>
      <c r="I36" t="n">
        <v>8.300000000000001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7860-2024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45348</v>
      </c>
      <c r="E37" s="1" t="n">
        <v>46270</v>
      </c>
      <c r="F37" t="inlineStr">
        <is>
          <t>STOCKHOLMS LÄN</t>
        </is>
      </c>
      <c r="G37" t="inlineStr">
        <is>
          <t>UPPLANDS-BRO</t>
        </is>
      </c>
      <c r="H37" t="inlineStr">
        <is>
          <t>Övriga statliga verk och myndigheter</t>
        </is>
      </c>
      <c r="I37" t="n">
        <v>1.9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27313-2023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45096</v>
      </c>
      <c r="E38" s="1" t="n">
        <v>46270</v>
      </c>
      <c r="F38" t="inlineStr">
        <is>
          <t>STOCKHOLMS LÄN</t>
        </is>
      </c>
      <c r="G38" t="inlineStr">
        <is>
          <t>UPPLANDS-BRO</t>
        </is>
      </c>
      <c r="I38" t="n">
        <v>1.8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64114-2023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45279</v>
      </c>
      <c r="E39" s="1" t="n">
        <v>46270</v>
      </c>
      <c r="F39" t="inlineStr">
        <is>
          <t>STOCKHOLMS LÄN</t>
        </is>
      </c>
      <c r="G39" t="inlineStr">
        <is>
          <t>UPPLANDS-BRO</t>
        </is>
      </c>
      <c r="I39" t="n">
        <v>0.4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50294-2023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45216</v>
      </c>
      <c r="E40" s="1" t="n">
        <v>46270</v>
      </c>
      <c r="F40" t="inlineStr">
        <is>
          <t>STOCKHOLMS LÄN</t>
        </is>
      </c>
      <c r="G40" t="inlineStr">
        <is>
          <t>UPPLANDS-BRO</t>
        </is>
      </c>
      <c r="I40" t="n">
        <v>3.7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58011-2021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44487</v>
      </c>
      <c r="E41" s="1" t="n">
        <v>46270</v>
      </c>
      <c r="F41" t="inlineStr">
        <is>
          <t>STOCKHOLMS LÄN</t>
        </is>
      </c>
      <c r="G41" t="inlineStr">
        <is>
          <t>UPPLANDS-BRO</t>
        </is>
      </c>
      <c r="H41" t="inlineStr">
        <is>
          <t>Övriga statliga verk och myndigheter</t>
        </is>
      </c>
      <c r="I41" t="n">
        <v>9.199999999999999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49622-2021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44455</v>
      </c>
      <c r="E42" s="1" t="n">
        <v>46270</v>
      </c>
      <c r="F42" t="inlineStr">
        <is>
          <t>STOCKHOLMS LÄN</t>
        </is>
      </c>
      <c r="G42" t="inlineStr">
        <is>
          <t>UPPLANDS-BRO</t>
        </is>
      </c>
      <c r="I42" t="n">
        <v>3.8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9655-2026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46070</v>
      </c>
      <c r="E43" s="1" t="n">
        <v>46270</v>
      </c>
      <c r="F43" t="inlineStr">
        <is>
          <t>STOCKHOLMS LÄN</t>
        </is>
      </c>
      <c r="G43" t="inlineStr">
        <is>
          <t>UPPLANDS-BRO</t>
        </is>
      </c>
      <c r="H43" t="inlineStr">
        <is>
          <t>Övriga statliga verk och myndigheter</t>
        </is>
      </c>
      <c r="I43" t="n">
        <v>17.2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64110-2023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45279</v>
      </c>
      <c r="E44" s="1" t="n">
        <v>46270</v>
      </c>
      <c r="F44" t="inlineStr">
        <is>
          <t>STOCKHOLMS LÄN</t>
        </is>
      </c>
      <c r="G44" t="inlineStr">
        <is>
          <t>UPPLANDS-BRO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23098-2024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45450</v>
      </c>
      <c r="E45" s="1" t="n">
        <v>46270</v>
      </c>
      <c r="F45" t="inlineStr">
        <is>
          <t>STOCKHOLMS LÄN</t>
        </is>
      </c>
      <c r="G45" t="inlineStr">
        <is>
          <t>UPPLANDS-BRO</t>
        </is>
      </c>
      <c r="H45" t="inlineStr">
        <is>
          <t>Övriga statliga verk och myndigheter</t>
        </is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59377-2024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45638</v>
      </c>
      <c r="E46" s="1" t="n">
        <v>46270</v>
      </c>
      <c r="F46" t="inlineStr">
        <is>
          <t>STOCKHOLMS LÄN</t>
        </is>
      </c>
      <c r="G46" t="inlineStr">
        <is>
          <t>UPPLANDS-BRO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59402-2022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44906</v>
      </c>
      <c r="E47" s="1" t="n">
        <v>46270</v>
      </c>
      <c r="F47" t="inlineStr">
        <is>
          <t>STOCKHOLMS LÄN</t>
        </is>
      </c>
      <c r="G47" t="inlineStr">
        <is>
          <t>UPPLANDS-BRO</t>
        </is>
      </c>
      <c r="I47" t="n">
        <v>1.8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18778-2026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46128</v>
      </c>
      <c r="E48" s="1" t="n">
        <v>46270</v>
      </c>
      <c r="F48" t="inlineStr">
        <is>
          <t>STOCKHOLMS LÄN</t>
        </is>
      </c>
      <c r="G48" t="inlineStr">
        <is>
          <t>UPPLANDS-BRO</t>
        </is>
      </c>
      <c r="H48" t="inlineStr">
        <is>
          <t>Övriga statliga verk och myndigheter</t>
        </is>
      </c>
      <c r="I48" t="n">
        <v>4.5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18813-2026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46128</v>
      </c>
      <c r="E49" s="1" t="n">
        <v>46270</v>
      </c>
      <c r="F49" t="inlineStr">
        <is>
          <t>STOCKHOLMS LÄN</t>
        </is>
      </c>
      <c r="G49" t="inlineStr">
        <is>
          <t>UPPLANDS-BRO</t>
        </is>
      </c>
      <c r="H49" t="inlineStr">
        <is>
          <t>Övriga statliga verk och myndigheter</t>
        </is>
      </c>
      <c r="I49" t="n">
        <v>56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18818-2026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46128</v>
      </c>
      <c r="E50" s="1" t="n">
        <v>46270</v>
      </c>
      <c r="F50" t="inlineStr">
        <is>
          <t>STOCKHOLMS LÄN</t>
        </is>
      </c>
      <c r="G50" t="inlineStr">
        <is>
          <t>UPPLANDS-BRO</t>
        </is>
      </c>
      <c r="H50" t="inlineStr">
        <is>
          <t>Övriga statliga verk och myndigheter</t>
        </is>
      </c>
      <c r="I50" t="n">
        <v>17.8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18787-2026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46128</v>
      </c>
      <c r="E51" s="1" t="n">
        <v>46270</v>
      </c>
      <c r="F51" t="inlineStr">
        <is>
          <t>STOCKHOLMS LÄN</t>
        </is>
      </c>
      <c r="G51" t="inlineStr">
        <is>
          <t>UPPLANDS-BRO</t>
        </is>
      </c>
      <c r="H51" t="inlineStr">
        <is>
          <t>Övriga statliga verk och myndigheter</t>
        </is>
      </c>
      <c r="I51" t="n">
        <v>7.8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5264-2023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44959</v>
      </c>
      <c r="E52" s="1" t="n">
        <v>46270</v>
      </c>
      <c r="F52" t="inlineStr">
        <is>
          <t>STOCKHOLMS LÄN</t>
        </is>
      </c>
      <c r="G52" t="inlineStr">
        <is>
          <t>UPPLANDS-BRO</t>
        </is>
      </c>
      <c r="I52" t="n">
        <v>5.8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51587-2023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45215</v>
      </c>
      <c r="E53" s="1" t="n">
        <v>46270</v>
      </c>
      <c r="F53" t="inlineStr">
        <is>
          <t>STOCKHOLMS LÄN</t>
        </is>
      </c>
      <c r="G53" t="inlineStr">
        <is>
          <t>UPPLANDS-BRO</t>
        </is>
      </c>
      <c r="H53" t="inlineStr">
        <is>
          <t>Allmännings- och besparingsskogar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72524-2021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44546</v>
      </c>
      <c r="E54" s="1" t="n">
        <v>46270</v>
      </c>
      <c r="F54" t="inlineStr">
        <is>
          <t>STOCKHOLMS LÄN</t>
        </is>
      </c>
      <c r="G54" t="inlineStr">
        <is>
          <t>UPPLANDS-BRO</t>
        </is>
      </c>
      <c r="I54" t="n">
        <v>3.6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21206-2026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46146</v>
      </c>
      <c r="E55" s="1" t="n">
        <v>46270</v>
      </c>
      <c r="F55" t="inlineStr">
        <is>
          <t>STOCKHOLMS LÄN</t>
        </is>
      </c>
      <c r="G55" t="inlineStr">
        <is>
          <t>UPPLANDS-BRO</t>
        </is>
      </c>
      <c r="H55" t="inlineStr">
        <is>
          <t>Övriga statliga verk och myndigheter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4338-2023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44953</v>
      </c>
      <c r="E56" s="1" t="n">
        <v>46270</v>
      </c>
      <c r="F56" t="inlineStr">
        <is>
          <t>STOCKHOLMS LÄN</t>
        </is>
      </c>
      <c r="G56" t="inlineStr">
        <is>
          <t>UPPLANDS-BRO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59848-2022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44901</v>
      </c>
      <c r="E57" s="1" t="n">
        <v>46270</v>
      </c>
      <c r="F57" t="inlineStr">
        <is>
          <t>STOCKHOLMS LÄN</t>
        </is>
      </c>
      <c r="G57" t="inlineStr">
        <is>
          <t>UPPLANDS-BRO</t>
        </is>
      </c>
      <c r="H57" t="inlineStr">
        <is>
          <t>Övriga statliga verk och myndigheter</t>
        </is>
      </c>
      <c r="I57" t="n">
        <v>10.7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59700-2021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44494</v>
      </c>
      <c r="E58" s="1" t="n">
        <v>46270</v>
      </c>
      <c r="F58" t="inlineStr">
        <is>
          <t>STOCKHOLMS LÄN</t>
        </is>
      </c>
      <c r="G58" t="inlineStr">
        <is>
          <t>UPPLANDS-BRO</t>
        </is>
      </c>
      <c r="H58" t="inlineStr">
        <is>
          <t>Övriga statliga verk och myndigheter</t>
        </is>
      </c>
      <c r="I58" t="n">
        <v>4.8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24579-2026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46170</v>
      </c>
      <c r="E59" s="1" t="n">
        <v>46270</v>
      </c>
      <c r="F59" t="inlineStr">
        <is>
          <t>STOCKHOLMS LÄN</t>
        </is>
      </c>
      <c r="G59" t="inlineStr">
        <is>
          <t>UPPLANDS-BRO</t>
        </is>
      </c>
      <c r="I59" t="n">
        <v>2.1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31160-2022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44770</v>
      </c>
      <c r="E60" s="1" t="n">
        <v>46270</v>
      </c>
      <c r="F60" t="inlineStr">
        <is>
          <t>STOCKHOLMS LÄN</t>
        </is>
      </c>
      <c r="G60" t="inlineStr">
        <is>
          <t>UPPLANDS-BRO</t>
        </is>
      </c>
      <c r="I60" t="n">
        <v>3.7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58598-2025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45986</v>
      </c>
      <c r="E61" s="1" t="n">
        <v>46270</v>
      </c>
      <c r="F61" t="inlineStr">
        <is>
          <t>STOCKHOLMS LÄN</t>
        </is>
      </c>
      <c r="G61" t="inlineStr">
        <is>
          <t>UPPLANDS-BRO</t>
        </is>
      </c>
      <c r="H61" t="inlineStr">
        <is>
          <t>Övriga statliga verk och myndigheter</t>
        </is>
      </c>
      <c r="I61" t="n">
        <v>4.5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26196-2026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46182</v>
      </c>
      <c r="E62" s="1" t="n">
        <v>46270</v>
      </c>
      <c r="F62" t="inlineStr">
        <is>
          <t>STOCKHOLMS LÄN</t>
        </is>
      </c>
      <c r="G62" t="inlineStr">
        <is>
          <t>UPPLANDS-BRO</t>
        </is>
      </c>
      <c r="I62" t="n">
        <v>53.1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26633-2026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46184</v>
      </c>
      <c r="E63" s="1" t="n">
        <v>46270</v>
      </c>
      <c r="F63" t="inlineStr">
        <is>
          <t>STOCKHOLMS LÄN</t>
        </is>
      </c>
      <c r="G63" t="inlineStr">
        <is>
          <t>UPPLANDS-BRO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26625-2026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46184</v>
      </c>
      <c r="E64" s="1" t="n">
        <v>46270</v>
      </c>
      <c r="F64" t="inlineStr">
        <is>
          <t>STOCKHOLMS LÄN</t>
        </is>
      </c>
      <c r="G64" t="inlineStr">
        <is>
          <t>UPPLANDS-BRO</t>
        </is>
      </c>
      <c r="I64" t="n">
        <v>5.3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26629-2026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46184</v>
      </c>
      <c r="E65" s="1" t="n">
        <v>46270</v>
      </c>
      <c r="F65" t="inlineStr">
        <is>
          <t>STOCKHOLMS LÄN</t>
        </is>
      </c>
      <c r="G65" t="inlineStr">
        <is>
          <t>UPPLANDS-BRO</t>
        </is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3754-2026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46043</v>
      </c>
      <c r="E66" s="1" t="n">
        <v>46270</v>
      </c>
      <c r="F66" t="inlineStr">
        <is>
          <t>STOCKHOLMS LÄN</t>
        </is>
      </c>
      <c r="G66" t="inlineStr">
        <is>
          <t>UPPLANDS-BRO</t>
        </is>
      </c>
      <c r="H66" t="inlineStr">
        <is>
          <t>Övriga statliga verk och myndigheter</t>
        </is>
      </c>
      <c r="I66" t="n">
        <v>5.1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28735-2026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46198</v>
      </c>
      <c r="E67" s="1" t="n">
        <v>46270</v>
      </c>
      <c r="F67" t="inlineStr">
        <is>
          <t>STOCKHOLMS LÄN</t>
        </is>
      </c>
      <c r="G67" t="inlineStr">
        <is>
          <t>UPPLANDS-BRO</t>
        </is>
      </c>
      <c r="I67" t="n">
        <v>3.5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28740-2026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46198</v>
      </c>
      <c r="E68" s="1" t="n">
        <v>46270</v>
      </c>
      <c r="F68" t="inlineStr">
        <is>
          <t>STOCKHOLMS LÄN</t>
        </is>
      </c>
      <c r="G68" t="inlineStr">
        <is>
          <t>UPPLANDS-BRO</t>
        </is>
      </c>
      <c r="I68" t="n">
        <v>4.8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28797-2026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46198</v>
      </c>
      <c r="E69" s="1" t="n">
        <v>46270</v>
      </c>
      <c r="F69" t="inlineStr">
        <is>
          <t>STOCKHOLMS LÄN</t>
        </is>
      </c>
      <c r="G69" t="inlineStr">
        <is>
          <t>UPPLANDS-BRO</t>
        </is>
      </c>
      <c r="I69" t="n">
        <v>2.2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7275-2022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44606</v>
      </c>
      <c r="E70" s="1" t="n">
        <v>46270</v>
      </c>
      <c r="F70" t="inlineStr">
        <is>
          <t>STOCKHOLMS LÄN</t>
        </is>
      </c>
      <c r="G70" t="inlineStr">
        <is>
          <t>UPPLANDS-BRO</t>
        </is>
      </c>
      <c r="H70" t="inlineStr">
        <is>
          <t>Övriga statliga verk och myndigheter</t>
        </is>
      </c>
      <c r="I70" t="n">
        <v>9.6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33058-2026</t>
        </is>
      </c>
      <c r="B71" t="inlineStr">
        <is>
          <t>avverkningsanmälan</t>
        </is>
      </c>
      <c r="C71" t="inlineStr">
        <is>
          <t>Avverkning för att bevara och utveckla /försöksver</t>
        </is>
      </c>
      <c r="D71" s="1" t="n">
        <v>46245</v>
      </c>
      <c r="E71" s="1" t="n">
        <v>46270</v>
      </c>
      <c r="F71" t="inlineStr">
        <is>
          <t>STOCKHOLMS LÄN</t>
        </is>
      </c>
      <c r="G71" t="inlineStr">
        <is>
          <t>UPPLANDS-BRO</t>
        </is>
      </c>
      <c r="I71" t="n">
        <v>1.3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64107-2023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45279</v>
      </c>
      <c r="E72" s="1" t="n">
        <v>46270</v>
      </c>
      <c r="F72" t="inlineStr">
        <is>
          <t>STOCKHOLMS LÄN</t>
        </is>
      </c>
      <c r="G72" t="inlineStr">
        <is>
          <t>UPPLANDS-BRO</t>
        </is>
      </c>
      <c r="I72" t="n">
        <v>0.3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7112-2025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45701</v>
      </c>
      <c r="E73" s="1" t="n">
        <v>46270</v>
      </c>
      <c r="F73" t="inlineStr">
        <is>
          <t>STOCKHOLMS LÄN</t>
        </is>
      </c>
      <c r="G73" t="inlineStr">
        <is>
          <t>UPPLANDS-BRO</t>
        </is>
      </c>
      <c r="I73" t="n">
        <v>2.4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38902-2024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45547</v>
      </c>
      <c r="E74" s="1" t="n">
        <v>46270</v>
      </c>
      <c r="F74" t="inlineStr">
        <is>
          <t>STOCKHOLMS LÄN</t>
        </is>
      </c>
      <c r="G74" t="inlineStr">
        <is>
          <t>UPPLANDS-BRO</t>
        </is>
      </c>
      <c r="H74" t="inlineStr">
        <is>
          <t>Övriga statliga verk och myndigheter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23615-2025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45792</v>
      </c>
      <c r="E75" s="1" t="n">
        <v>46270</v>
      </c>
      <c r="F75" t="inlineStr">
        <is>
          <t>STOCKHOLMS LÄN</t>
        </is>
      </c>
      <c r="G75" t="inlineStr">
        <is>
          <t>UPPLANDS-BRO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23627-2025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45792</v>
      </c>
      <c r="E76" s="1" t="n">
        <v>46270</v>
      </c>
      <c r="F76" t="inlineStr">
        <is>
          <t>STOCKHOLMS LÄN</t>
        </is>
      </c>
      <c r="G76" t="inlineStr">
        <is>
          <t>UPPLANDS-BRO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31714-2026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46226</v>
      </c>
      <c r="E77" s="1" t="n">
        <v>46270</v>
      </c>
      <c r="F77" t="inlineStr">
        <is>
          <t>STOCKHOLMS LÄN</t>
        </is>
      </c>
      <c r="G77" t="inlineStr">
        <is>
          <t>UPPLANDS-BRO</t>
        </is>
      </c>
      <c r="I77" t="n">
        <v>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>
      <c r="A78" t="inlineStr">
        <is>
          <t>S 10447-2021</t>
        </is>
      </c>
      <c r="B78" t="inlineStr">
        <is>
          <t>samrådsanmälan</t>
        </is>
      </c>
      <c r="C78" t="inlineStr">
        <is>
          <t>Annan skogsbruksåtgärd</t>
        </is>
      </c>
      <c r="D78" s="1" t="n">
        <v>44558</v>
      </c>
      <c r="E78" s="1" t="n">
        <v>46270</v>
      </c>
      <c r="F78" t="inlineStr">
        <is>
          <t>STOCKHOLMS LÄN</t>
        </is>
      </c>
      <c r="G78" t="inlineStr">
        <is>
          <t>UPPLANDS-BRO</t>
        </is>
      </c>
      <c r="I78" t="n">
        <v>4.4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2026-09-05T02:05:16Z</dcterms:created>
  <dcterms:modified xmlns:dcterms="http://purl.org/dc/terms/" xmlns:xsi="http://www.w3.org/2001/XMLSchema-instance" xsi:type="dcterms:W3CDTF">2026-09-05T02:05:16Z</dcterms:modified>
</cp:coreProperties>
</file>