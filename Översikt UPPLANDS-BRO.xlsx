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46217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46217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46217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46217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46217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Arommusseron
Fläcknycklar</t>
        </is>
      </c>
      <c r="V6">
        <f>HYPERLINK("https://klasma.github.io/Logging_0139/artfynd/A 10909-2025 artfynd.xlsx", "A 10909-2025")</f>
        <v/>
      </c>
      <c r="W6">
        <f>HYPERLINK("https://klasma.github.io/Logging_0139/kartor/A 10909-2025 karta.png", "A 10909-2025")</f>
        <v/>
      </c>
      <c r="Y6">
        <f>HYPERLINK("https://klasma.github.io/Logging_0139/klagomål/A 10909-2025 FSC-klagomål.docx", "A 10909-2025")</f>
        <v/>
      </c>
      <c r="Z6">
        <f>HYPERLINK("https://klasma.github.io/Logging_0139/klagomålsmail/A 10909-2025 FSC-klagomål mail.docx", "A 10909-2025")</f>
        <v/>
      </c>
      <c r="AA6">
        <f>HYPERLINK("https://klasma.github.io/Logging_0139/tillsyn/A 10909-2025 tillsynsbegäran.docx", "A 10909-2025")</f>
        <v/>
      </c>
      <c r="AB6">
        <f>HYPERLINK("https://klasma.github.io/Logging_0139/tillsynsmail/A 10909-2025 tillsynsbegäran mail.docx", "A 10909-2025")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Fläcknycklar
Nattviol</t>
        </is>
      </c>
      <c r="V7">
        <f>HYPERLINK("https://klasma.github.io/Logging_0139/artfynd/A 18790-2026 artfynd.xlsx", "A 18790-2026")</f>
        <v/>
      </c>
      <c r="W7">
        <f>HYPERLINK("https://klasma.github.io/Logging_0139/kartor/A 18790-2026 karta.png", "A 18790-2026")</f>
        <v/>
      </c>
      <c r="Y7">
        <f>HYPERLINK("https://klasma.github.io/Logging_0139/klagomål/A 18790-2026 FSC-klagomål.docx", "A 18790-2026")</f>
        <v/>
      </c>
      <c r="Z7">
        <f>HYPERLINK("https://klasma.github.io/Logging_0139/klagomålsmail/A 18790-2026 FSC-klagomål mail.docx", "A 18790-2026")</f>
        <v/>
      </c>
      <c r="AA7">
        <f>HYPERLINK("https://klasma.github.io/Logging_0139/tillsyn/A 18790-2026 tillsynsbegäran.docx", "A 18790-2026")</f>
        <v/>
      </c>
      <c r="AB7">
        <f>HYPERLINK("https://klasma.github.io/Logging_0139/tillsynsmail/A 18790-2026 tillsynsbegäran mail.docx", "A 18790-2026")</f>
        <v/>
      </c>
    </row>
    <row r="8" ht="15" customHeight="1">
      <c r="A8" t="inlineStr">
        <is>
          <t>A 18772-2026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46217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19.5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Svedjenäva
Fläcknycklar</t>
        </is>
      </c>
      <c r="V8">
        <f>HYPERLINK("https://klasma.github.io/Logging_0139/artfynd/A 18772-2026 artfynd.xlsx", "A 18772-2026")</f>
        <v/>
      </c>
      <c r="W8">
        <f>HYPERLINK("https://klasma.github.io/Logging_0139/kartor/A 18772-2026 karta.png", "A 18772-2026")</f>
        <v/>
      </c>
      <c r="Y8">
        <f>HYPERLINK("https://klasma.github.io/Logging_0139/klagomål/A 18772-2026 FSC-klagomål.docx", "A 18772-2026")</f>
        <v/>
      </c>
      <c r="Z8">
        <f>HYPERLINK("https://klasma.github.io/Logging_0139/klagomålsmail/A 18772-2026 FSC-klagomål mail.docx", "A 18772-2026")</f>
        <v/>
      </c>
      <c r="AA8">
        <f>HYPERLINK("https://klasma.github.io/Logging_0139/tillsyn/A 18772-2026 tillsynsbegäran.docx", "A 18772-2026")</f>
        <v/>
      </c>
      <c r="AB8">
        <f>HYPERLINK("https://klasma.github.io/Logging_0139/tillsynsmail/A 18772-2026 tillsynsbegäran mail.docx", "A 18772-2026")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46217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46217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46217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7955-2023 artfynd.xlsx", "A 7955-2023")</f>
        <v/>
      </c>
      <c r="W11">
        <f>HYPERLINK("https://klasma.github.io/Logging_0139/kartor/A 7955-2023 karta.png", "A 7955-2023")</f>
        <v/>
      </c>
      <c r="Y11">
        <f>HYPERLINK("https://klasma.github.io/Logging_0139/klagomål/A 7955-2023 FSC-klagomål.docx", "A 7955-2023")</f>
        <v/>
      </c>
      <c r="Z11">
        <f>HYPERLINK("https://klasma.github.io/Logging_0139/klagomålsmail/A 7955-2023 FSC-klagomål mail.docx", "A 7955-2023")</f>
        <v/>
      </c>
      <c r="AA11">
        <f>HYPERLINK("https://klasma.github.io/Logging_0139/tillsyn/A 7955-2023 tillsynsbegäran.docx", "A 7955-2023")</f>
        <v/>
      </c>
      <c r="AB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46217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Bombmurkla</t>
        </is>
      </c>
      <c r="V12">
        <f>HYPERLINK("https://klasma.github.io/Logging_0139/artfynd/A 46438-2023 artfynd.xlsx", "A 46438-2023")</f>
        <v/>
      </c>
      <c r="W12">
        <f>HYPERLINK("https://klasma.github.io/Logging_0139/kartor/A 46438-2023 karta.png", "A 46438-2023")</f>
        <v/>
      </c>
      <c r="Y12">
        <f>HYPERLINK("https://klasma.github.io/Logging_0139/klagomål/A 46438-2023 FSC-klagomål.docx", "A 46438-2023")</f>
        <v/>
      </c>
      <c r="Z12">
        <f>HYPERLINK("https://klasma.github.io/Logging_0139/klagomålsmail/A 46438-2023 FSC-klagomål mail.docx", "A 46438-2023")</f>
        <v/>
      </c>
      <c r="AA12">
        <f>HYPERLINK("https://klasma.github.io/Logging_0139/tillsyn/A 46438-2023 tillsynsbegäran.docx", "A 46438-2023")</f>
        <v/>
      </c>
      <c r="AB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46217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Y13">
        <f>HYPERLINK("https://klasma.github.io/Logging_0139/klagomål/A 12363-2025 FSC-klagomål.docx", "A 12363-2025")</f>
        <v/>
      </c>
      <c r="Z13">
        <f>HYPERLINK("https://klasma.github.io/Logging_0139/klagomålsmail/A 12363-2025 FSC-klagomål mail.docx", "A 12363-2025")</f>
        <v/>
      </c>
      <c r="AA13">
        <f>HYPERLINK("https://klasma.github.io/Logging_0139/tillsyn/A 12363-2025 tillsynsbegäran.docx", "A 12363-2025")</f>
        <v/>
      </c>
      <c r="AB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46217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Bredbrämad bastardsvärmare</t>
        </is>
      </c>
      <c r="V14">
        <f>HYPERLINK("https://klasma.github.io/Logging_0139/artfynd/A 23099-2024 artfynd.xlsx", "A 23099-2024")</f>
        <v/>
      </c>
      <c r="W14">
        <f>HYPERLINK("https://klasma.github.io/Logging_0139/kartor/A 23099-2024 karta.png", "A 23099-2024")</f>
        <v/>
      </c>
      <c r="Y14">
        <f>HYPERLINK("https://klasma.github.io/Logging_0139/klagomål/A 23099-2024 FSC-klagomål.docx", "A 23099-2024")</f>
        <v/>
      </c>
      <c r="Z14">
        <f>HYPERLINK("https://klasma.github.io/Logging_0139/klagomålsmail/A 23099-2024 FSC-klagomål mail.docx", "A 23099-2024")</f>
        <v/>
      </c>
      <c r="AA14">
        <f>HYPERLINK("https://klasma.github.io/Logging_0139/tillsyn/A 23099-2024 tillsynsbegäran.docx", "A 23099-2024")</f>
        <v/>
      </c>
      <c r="AB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46217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s="2" t="inlineStr">
        <is>
          <t>Bombmurkla</t>
        </is>
      </c>
      <c r="V15">
        <f>HYPERLINK("https://klasma.github.io/Logging_0139/artfynd/A 53357-2025 artfynd.xlsx", "A 53357-2025")</f>
        <v/>
      </c>
      <c r="W15">
        <f>HYPERLINK("https://klasma.github.io/Logging_0139/kartor/A 53357-2025 karta.png", "A 53357-2025")</f>
        <v/>
      </c>
      <c r="Y15">
        <f>HYPERLINK("https://klasma.github.io/Logging_0139/klagomål/A 53357-2025 FSC-klagomål.docx", "A 53357-2025")</f>
        <v/>
      </c>
      <c r="Z15">
        <f>HYPERLINK("https://klasma.github.io/Logging_0139/klagomålsmail/A 53357-2025 FSC-klagomål mail.docx", "A 53357-2025")</f>
        <v/>
      </c>
      <c r="AA15">
        <f>HYPERLINK("https://klasma.github.io/Logging_0139/tillsyn/A 53357-2025 tillsynsbegäran.docx", "A 53357-2025")</f>
        <v/>
      </c>
      <c r="AB15">
        <f>HYPERLINK("https://klasma.github.io/Logging_0139/tillsynsmail/A 53357-2025 tillsynsbegäran mail.docx", "A 53357-2025")</f>
        <v/>
      </c>
    </row>
    <row r="16" ht="15" customHeight="1">
      <c r="A16" t="inlineStr">
        <is>
          <t>A 26623-2026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46217</v>
      </c>
      <c r="F16" t="inlineStr">
        <is>
          <t>STOCKHOLMS LÄN</t>
        </is>
      </c>
      <c r="G16" t="inlineStr">
        <is>
          <t>UPPLANDS-BRO</t>
        </is>
      </c>
      <c r="I16" t="n">
        <v>4.6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Svartöra</t>
        </is>
      </c>
      <c r="V16">
        <f>HYPERLINK("https://klasma.github.io/Logging_0139/artfynd/A 26623-2026 artfynd.xlsx", "A 26623-2026")</f>
        <v/>
      </c>
      <c r="W16">
        <f>HYPERLINK("https://klasma.github.io/Logging_0139/kartor/A 26623-2026 karta.png", "A 26623-2026")</f>
        <v/>
      </c>
      <c r="Y16">
        <f>HYPERLINK("https://klasma.github.io/Logging_0139/klagomål/A 26623-2026 FSC-klagomål.docx", "A 26623-2026")</f>
        <v/>
      </c>
      <c r="Z16">
        <f>HYPERLINK("https://klasma.github.io/Logging_0139/klagomålsmail/A 26623-2026 FSC-klagomål mail.docx", "A 26623-2026")</f>
        <v/>
      </c>
      <c r="AA16">
        <f>HYPERLINK("https://klasma.github.io/Logging_0139/tillsyn/A 26623-2026 tillsynsbegäran.docx", "A 26623-2026")</f>
        <v/>
      </c>
      <c r="AB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46217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HYPERLINK("https://klasma.github.io/Logging_0139/artfynd/A 26637-2026 artfynd.xlsx", "A 26637-2026")</f>
        <v/>
      </c>
      <c r="W17">
        <f>HYPERLINK("https://klasma.github.io/Logging_0139/kartor/A 26637-2026 karta.png", "A 26637-2026")</f>
        <v/>
      </c>
      <c r="Y17">
        <f>HYPERLINK("https://klasma.github.io/Logging_0139/klagomål/A 26637-2026 FSC-klagomål.docx", "A 26637-2026")</f>
        <v/>
      </c>
      <c r="Z17">
        <f>HYPERLINK("https://klasma.github.io/Logging_0139/klagomålsmail/A 26637-2026 FSC-klagomål mail.docx", "A 26637-2026")</f>
        <v/>
      </c>
      <c r="AA17">
        <f>HYPERLINK("https://klasma.github.io/Logging_0139/tillsyn/A 26637-2026 tillsynsbegäran.docx", "A 26637-2026")</f>
        <v/>
      </c>
      <c r="AB17">
        <f>HYPERLINK("https://klasma.github.io/Logging_0139/tillsynsmail/A 26637-2026 tillsynsbegäran mail.docx", "A 26637-2026")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46217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Skogsalmsdvärgmal</t>
        </is>
      </c>
      <c r="V18">
        <f>HYPERLINK("https://klasma.github.io/Logging_0139/artfynd/A 64098-2023 artfynd.xlsx", "A 64098-2023")</f>
        <v/>
      </c>
      <c r="W18">
        <f>HYPERLINK("https://klasma.github.io/Logging_0139/kartor/A 64098-2023 karta.png", "A 64098-2023")</f>
        <v/>
      </c>
      <c r="Y18">
        <f>HYPERLINK("https://klasma.github.io/Logging_0139/klagomål/A 64098-2023 FSC-klagomål.docx", "A 64098-2023")</f>
        <v/>
      </c>
      <c r="Z18">
        <f>HYPERLINK("https://klasma.github.io/Logging_0139/klagomålsmail/A 64098-2023 FSC-klagomål mail.docx", "A 64098-2023")</f>
        <v/>
      </c>
      <c r="AA18">
        <f>HYPERLINK("https://klasma.github.io/Logging_0139/tillsyn/A 64098-2023 tillsynsbegäran.docx", "A 64098-2023")</f>
        <v/>
      </c>
      <c r="AB18">
        <f>HYPERLINK("https://klasma.github.io/Logging_0139/tillsynsmail/A 64098-2023 tillsynsbegäran mail.docx", "A 64098-2023")</f>
        <v/>
      </c>
    </row>
    <row r="19" ht="15" customHeight="1">
      <c r="A19" t="inlineStr">
        <is>
          <t>A 2409-2026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46217</v>
      </c>
      <c r="F19" t="inlineStr">
        <is>
          <t>STOCKHOLMS LÄN</t>
        </is>
      </c>
      <c r="G19" t="inlineStr">
        <is>
          <t>UPPLANDS-BRO</t>
        </is>
      </c>
      <c r="I19" t="n">
        <v>14.2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Havsörn</t>
        </is>
      </c>
      <c r="V19">
        <f>HYPERLINK("https://klasma.github.io/Logging_0139/artfynd/A 2409-2026 artfynd.xlsx", "A 2409-2026")</f>
        <v/>
      </c>
      <c r="W19">
        <f>HYPERLINK("https://klasma.github.io/Logging_0139/kartor/A 2409-2026 karta.png", "A 2409-2026")</f>
        <v/>
      </c>
      <c r="Y19">
        <f>HYPERLINK("https://klasma.github.io/Logging_0139/klagomål/A 2409-2026 FSC-klagomål.docx", "A 2409-2026")</f>
        <v/>
      </c>
      <c r="Z19">
        <f>HYPERLINK("https://klasma.github.io/Logging_0139/klagomålsmail/A 2409-2026 FSC-klagomål mail.docx", "A 2409-2026")</f>
        <v/>
      </c>
      <c r="AA19">
        <f>HYPERLINK("https://klasma.github.io/Logging_0139/tillsyn/A 2409-2026 tillsynsbegäran.docx", "A 2409-2026")</f>
        <v/>
      </c>
      <c r="AB19">
        <f>HYPERLINK("https://klasma.github.io/Logging_0139/tillsynsmail/A 2409-2026 tillsynsbegäran mail.docx", "A 2409-2026")</f>
        <v/>
      </c>
      <c r="AC19">
        <f>HYPERLINK("https://klasma.github.io/Logging_0139/fåglar/A 2409-2026 prioriterade fågelarter.docx", "A 2409-2026")</f>
        <v/>
      </c>
    </row>
    <row r="20" ht="15" customHeight="1">
      <c r="A20" t="inlineStr">
        <is>
          <t>A 73773-2021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44552</v>
      </c>
      <c r="E20" s="1" t="n">
        <v>46217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Kopparödla</t>
        </is>
      </c>
      <c r="V20">
        <f>HYPERLINK("https://klasma.github.io/Logging_0139/artfynd/A 73773-2021 artfynd.xlsx", "A 73773-2021")</f>
        <v/>
      </c>
      <c r="W20">
        <f>HYPERLINK("https://klasma.github.io/Logging_0139/kartor/A 73773-2021 karta.png", "A 73773-2021")</f>
        <v/>
      </c>
      <c r="Y20">
        <f>HYPERLINK("https://klasma.github.io/Logging_0139/klagomål/A 73773-2021 FSC-klagomål.docx", "A 73773-2021")</f>
        <v/>
      </c>
      <c r="Z20">
        <f>HYPERLINK("https://klasma.github.io/Logging_0139/klagomålsmail/A 73773-2021 FSC-klagomål mail.docx", "A 73773-2021")</f>
        <v/>
      </c>
      <c r="AA20">
        <f>HYPERLINK("https://klasma.github.io/Logging_0139/tillsyn/A 73773-2021 tillsynsbegäran.docx", "A 73773-2021")</f>
        <v/>
      </c>
      <c r="AB20">
        <f>HYPERLINK("https://klasma.github.io/Logging_0139/tillsynsmail/A 73773-2021 tillsynsbegäran mail.docx", "A 73773-2021")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46217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Myskbock</t>
        </is>
      </c>
      <c r="V21">
        <f>HYPERLINK("https://klasma.github.io/Logging_0139/artfynd/A 11447-2025 artfynd.xlsx", "A 11447-2025")</f>
        <v/>
      </c>
      <c r="W21">
        <f>HYPERLINK("https://klasma.github.io/Logging_0139/kartor/A 11447-2025 karta.png", "A 11447-2025")</f>
        <v/>
      </c>
      <c r="Y21">
        <f>HYPERLINK("https://klasma.github.io/Logging_0139/klagomål/A 11447-2025 FSC-klagomål.docx", "A 11447-2025")</f>
        <v/>
      </c>
      <c r="Z21">
        <f>HYPERLINK("https://klasma.github.io/Logging_0139/klagomålsmail/A 11447-2025 FSC-klagomål mail.docx", "A 11447-2025")</f>
        <v/>
      </c>
      <c r="AA21">
        <f>HYPERLINK("https://klasma.github.io/Logging_0139/tillsyn/A 11447-2025 tillsynsbegäran.docx", "A 11447-2025")</f>
        <v/>
      </c>
      <c r="AB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46217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Mindre hackspett</t>
        </is>
      </c>
      <c r="V22">
        <f>HYPERLINK("https://klasma.github.io/Logging_0139/artfynd/A 2062-2025 artfynd.xlsx", "A 2062-2025")</f>
        <v/>
      </c>
      <c r="W22">
        <f>HYPERLINK("https://klasma.github.io/Logging_0139/kartor/A 2062-2025 karta.png", "A 2062-2025")</f>
        <v/>
      </c>
      <c r="Y22">
        <f>HYPERLINK("https://klasma.github.io/Logging_0139/klagomål/A 2062-2025 FSC-klagomål.docx", "A 2062-2025")</f>
        <v/>
      </c>
      <c r="Z22">
        <f>HYPERLINK("https://klasma.github.io/Logging_0139/klagomålsmail/A 2062-2025 FSC-klagomål mail.docx", "A 2062-2025")</f>
        <v/>
      </c>
      <c r="AA22">
        <f>HYPERLINK("https://klasma.github.io/Logging_0139/tillsyn/A 2062-2025 tillsynsbegäran.docx", "A 2062-2025")</f>
        <v/>
      </c>
      <c r="AB22">
        <f>HYPERLINK("https://klasma.github.io/Logging_0139/tillsynsmail/A 2062-2025 tillsynsbegäran mail.docx", "A 2062-2025")</f>
        <v/>
      </c>
      <c r="AC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46217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Bombmurkla</t>
        </is>
      </c>
      <c r="V23">
        <f>HYPERLINK("https://klasma.github.io/Logging_0139/artfynd/A 25561-2025 artfynd.xlsx", "A 25561-2025")</f>
        <v/>
      </c>
      <c r="W23">
        <f>HYPERLINK("https://klasma.github.io/Logging_0139/kartor/A 25561-2025 karta.png", "A 25561-2025")</f>
        <v/>
      </c>
      <c r="Y23">
        <f>HYPERLINK("https://klasma.github.io/Logging_0139/klagomål/A 25561-2025 FSC-klagomål.docx", "A 25561-2025")</f>
        <v/>
      </c>
      <c r="Z23">
        <f>HYPERLINK("https://klasma.github.io/Logging_0139/klagomålsmail/A 25561-2025 FSC-klagomål mail.docx", "A 25561-2025")</f>
        <v/>
      </c>
      <c r="AA23">
        <f>HYPERLINK("https://klasma.github.io/Logging_0139/tillsyn/A 25561-2025 tillsynsbegäran.docx", "A 25561-2025")</f>
        <v/>
      </c>
      <c r="AB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46217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46217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46217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46217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46217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46217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46217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46217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46217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46217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31160-2022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44770</v>
      </c>
      <c r="E34" s="1" t="n">
        <v>46217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14719-2022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46217</v>
      </c>
      <c r="F35" t="inlineStr">
        <is>
          <t>STOCKHOLMS LÄN</t>
        </is>
      </c>
      <c r="G35" t="inlineStr">
        <is>
          <t>UPPLANDS-BRO</t>
        </is>
      </c>
      <c r="H35" t="inlineStr">
        <is>
          <t>Allmännings- och besparingsskogar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40514-2021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44420</v>
      </c>
      <c r="E36" s="1" t="n">
        <v>46217</v>
      </c>
      <c r="F36" t="inlineStr">
        <is>
          <t>STOCKHOLMS LÄN</t>
        </is>
      </c>
      <c r="G36" t="inlineStr">
        <is>
          <t>UPPLANDS-BRO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46217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46217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50294-2023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46217</v>
      </c>
      <c r="F39" t="inlineStr">
        <is>
          <t>STOCKHOLMS LÄN</t>
        </is>
      </c>
      <c r="G39" t="inlineStr">
        <is>
          <t>UPPLANDS-BRO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46217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23098-2024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46217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58598-2025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46217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59844-2022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46217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45225</v>
      </c>
      <c r="E44" s="1" t="n">
        <v>46217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26196-2026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46182</v>
      </c>
      <c r="E45" s="1" t="n">
        <v>46217</v>
      </c>
      <c r="F45" t="inlineStr">
        <is>
          <t>STOCKHOLMS LÄN</t>
        </is>
      </c>
      <c r="G45" t="inlineStr">
        <is>
          <t>UPPLANDS-BRO</t>
        </is>
      </c>
      <c r="I45" t="n">
        <v>53.1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26625-2026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46217</v>
      </c>
      <c r="F46" t="inlineStr">
        <is>
          <t>STOCKHOLMS LÄN</t>
        </is>
      </c>
      <c r="G46" t="inlineStr">
        <is>
          <t>UPPLANDS-BRO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26633-2026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46217</v>
      </c>
      <c r="F47" t="inlineStr">
        <is>
          <t>STOCKHOLMS LÄN</t>
        </is>
      </c>
      <c r="G47" t="inlineStr">
        <is>
          <t>UPPLANDS-BRO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26629-2026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46217</v>
      </c>
      <c r="F48" t="inlineStr">
        <is>
          <t>STOCKHOLMS LÄN</t>
        </is>
      </c>
      <c r="G48" t="inlineStr">
        <is>
          <t>UPPLANDS-BRO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46217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21208-2026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46217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46217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58011-2021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46217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9.199999999999999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72524-2021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44546</v>
      </c>
      <c r="E53" s="1" t="n">
        <v>46217</v>
      </c>
      <c r="F53" t="inlineStr">
        <is>
          <t>STOCKHOLMS LÄN</t>
        </is>
      </c>
      <c r="G53" t="inlineStr">
        <is>
          <t>UPPLANDS-BRO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64107-2023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46217</v>
      </c>
      <c r="F54" t="inlineStr">
        <is>
          <t>STOCKHOLMS LÄN</t>
        </is>
      </c>
      <c r="G54" t="inlineStr">
        <is>
          <t>UPPLANDS-BRO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23093-2024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45450</v>
      </c>
      <c r="E55" s="1" t="n">
        <v>46217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27313-2023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45096</v>
      </c>
      <c r="E56" s="1" t="n">
        <v>46217</v>
      </c>
      <c r="F56" t="inlineStr">
        <is>
          <t>STOCKHOLMS LÄN</t>
        </is>
      </c>
      <c r="G56" t="inlineStr">
        <is>
          <t>UPPLANDS-BRO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28797-2026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46217</v>
      </c>
      <c r="F57" t="inlineStr">
        <is>
          <t>STOCKHOLMS LÄN</t>
        </is>
      </c>
      <c r="G57" t="inlineStr">
        <is>
          <t>UPPLANDS-BRO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59377-2024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46217</v>
      </c>
      <c r="F58" t="inlineStr">
        <is>
          <t>STOCKHOLMS LÄN</t>
        </is>
      </c>
      <c r="G58" t="inlineStr">
        <is>
          <t>UPPLANDS-BRO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46217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46217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46217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9655-2026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46217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46217</v>
      </c>
      <c r="F63" t="inlineStr">
        <is>
          <t>STOCKHOLMS LÄN</t>
        </is>
      </c>
      <c r="G63" t="inlineStr">
        <is>
          <t>UPPLANDS-BRO</t>
        </is>
      </c>
      <c r="H63" t="inlineStr">
        <is>
          <t>Allmännings- och besparingsskogar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28735-2026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46217</v>
      </c>
      <c r="F64" t="inlineStr">
        <is>
          <t>STOCKHOLMS LÄN</t>
        </is>
      </c>
      <c r="G64" t="inlineStr">
        <is>
          <t>UPPLANDS-BRO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46217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46217</v>
      </c>
      <c r="F66" t="inlineStr">
        <is>
          <t>STOCKHOLMS LÄN</t>
        </is>
      </c>
      <c r="G66" t="inlineStr">
        <is>
          <t>UPPLANDS-BRO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64110-2023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46217</v>
      </c>
      <c r="F67" t="inlineStr">
        <is>
          <t>STOCKHOLMS LÄN</t>
        </is>
      </c>
      <c r="G67" t="inlineStr">
        <is>
          <t>UPPLANDS-BRO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46217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46170</v>
      </c>
      <c r="E69" s="1" t="n">
        <v>46217</v>
      </c>
      <c r="F69" t="inlineStr">
        <is>
          <t>STOCKHOLMS LÄN</t>
        </is>
      </c>
      <c r="G69" t="inlineStr">
        <is>
          <t>UPPLANDS-BRO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18813-2026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46217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56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46217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18778-2026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46217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46217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7275-2022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46217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9.6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45313</v>
      </c>
      <c r="E75" s="1" t="n">
        <v>46217</v>
      </c>
      <c r="F75" t="inlineStr">
        <is>
          <t>STOCKHOLMS LÄN</t>
        </is>
      </c>
      <c r="G75" t="inlineStr">
        <is>
          <t>UPPLANDS-BRO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59402-2022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44906</v>
      </c>
      <c r="E76" s="1" t="n">
        <v>46217</v>
      </c>
      <c r="F76" t="inlineStr">
        <is>
          <t>STOCKHOLMS LÄN</t>
        </is>
      </c>
      <c r="G76" t="inlineStr">
        <is>
          <t>UPPLANDS-BRO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44950</v>
      </c>
      <c r="E77" s="1" t="n">
        <v>46217</v>
      </c>
      <c r="F77" t="inlineStr">
        <is>
          <t>STOCKHOLMS LÄN</t>
        </is>
      </c>
      <c r="G77" t="inlineStr">
        <is>
          <t>UPPLANDS-BRO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7860-2024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45348</v>
      </c>
      <c r="E78" s="1" t="n">
        <v>46217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64105-2023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46217</v>
      </c>
      <c r="F79" t="inlineStr">
        <is>
          <t>STOCKHOLMS LÄN</t>
        </is>
      </c>
      <c r="G79" t="inlineStr">
        <is>
          <t>UPPLANDS-BRO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64114-2023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46217</v>
      </c>
      <c r="F80" t="inlineStr">
        <is>
          <t>STOCKHOLMS LÄN</t>
        </is>
      </c>
      <c r="G80" t="inlineStr">
        <is>
          <t>UPPLANDS-BRO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46217</v>
      </c>
      <c r="F81" t="inlineStr">
        <is>
          <t>STOCKHOLMS LÄN</t>
        </is>
      </c>
      <c r="G81" t="inlineStr">
        <is>
          <t>UPPLANDS-BRO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46217</v>
      </c>
      <c r="F82" t="inlineStr">
        <is>
          <t>STOCKHOLMS LÄN</t>
        </is>
      </c>
      <c r="G82" t="inlineStr">
        <is>
          <t>UPPLANDS-BRO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46217</v>
      </c>
      <c r="F83" t="inlineStr">
        <is>
          <t>STOCKHOLMS LÄN</t>
        </is>
      </c>
      <c r="G83" t="inlineStr">
        <is>
          <t>UPPLANDS-BRO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46217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