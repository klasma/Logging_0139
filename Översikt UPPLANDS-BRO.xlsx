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46249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46249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46249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46249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46249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46249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46249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46249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46249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46249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46249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11447-2025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45726</v>
      </c>
      <c r="E13" s="1" t="n">
        <v>46249</v>
      </c>
      <c r="F13" t="inlineStr">
        <is>
          <t>STOCKHOLMS LÄN</t>
        </is>
      </c>
      <c r="G13" t="inlineStr">
        <is>
          <t>UPPLANDS-BRO</t>
        </is>
      </c>
      <c r="I13" t="n">
        <v>1.5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Myskbock</t>
        </is>
      </c>
      <c r="W13">
        <f>HYPERLINK("https://klasma.github.io/Logging_0139/artfynd/A 11447-2025 artfynd.xlsx", "A 11447-2025")</f>
        <v/>
      </c>
      <c r="X13">
        <f>HYPERLINK("https://klasma.github.io/Logging_0139/kartor/A 11447-2025 karta.png", "A 11447-2025")</f>
        <v/>
      </c>
      <c r="Y13">
        <f>HYPERLINK("https://klasma.github.io/Logging_0139/kartor_geotiff/A 11447-2025 georefererad karta.tif", "A 11447-2025")</f>
        <v/>
      </c>
      <c r="AA13">
        <f>HYPERLINK("https://klasma.github.io/Logging_0139/klagomål/A 11447-2025 FSC-klagomål.docx", "A 11447-2025")</f>
        <v/>
      </c>
      <c r="AB13">
        <f>HYPERLINK("https://klasma.github.io/Logging_0139/klagomålsmail/A 11447-2025 FSC-klagomål mail.docx", "A 11447-2025")</f>
        <v/>
      </c>
      <c r="AC13">
        <f>HYPERLINK("https://klasma.github.io/Logging_0139/tillsyn/A 11447-2025 tillsynsbegäran.docx", "A 11447-2025")</f>
        <v/>
      </c>
      <c r="AD13">
        <f>HYPERLINK("https://klasma.github.io/Logging_0139/tillsynsmail/A 11447-2025 tillsynsbegäran mail.docx", "A 11447-2025")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46249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46249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46249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46249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46249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2062-2025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45671</v>
      </c>
      <c r="E19" s="1" t="n">
        <v>46249</v>
      </c>
      <c r="F19" t="inlineStr">
        <is>
          <t>STOCKHOLMS LÄN</t>
        </is>
      </c>
      <c r="G19" t="inlineStr">
        <is>
          <t>UPPLANDS-BRO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Mindre hackspett</t>
        </is>
      </c>
      <c r="W19">
        <f>HYPERLINK("https://klasma.github.io/Logging_0139/artfynd/A 2062-2025 artfynd.xlsx", "A 2062-2025")</f>
        <v/>
      </c>
      <c r="X19">
        <f>HYPERLINK("https://klasma.github.io/Logging_0139/kartor/A 2062-2025 karta.png", "A 2062-2025")</f>
        <v/>
      </c>
      <c r="Y19">
        <f>HYPERLINK("https://klasma.github.io/Logging_0139/kartor_geotiff/A 2062-2025 georefererad karta.tif", "A 2062-2025")</f>
        <v/>
      </c>
      <c r="AA19">
        <f>HYPERLINK("https://klasma.github.io/Logging_0139/klagomål/A 2062-2025 FSC-klagomål.docx", "A 2062-2025")</f>
        <v/>
      </c>
      <c r="AB19">
        <f>HYPERLINK("https://klasma.github.io/Logging_0139/klagomålsmail/A 2062-2025 FSC-klagomål mail.docx", "A 2062-2025")</f>
        <v/>
      </c>
      <c r="AC19">
        <f>HYPERLINK("https://klasma.github.io/Logging_0139/tillsyn/A 2062-2025 tillsynsbegäran.docx", "A 2062-2025")</f>
        <v/>
      </c>
      <c r="AD19">
        <f>HYPERLINK("https://klasma.github.io/Logging_0139/tillsynsmail/A 2062-2025 tillsynsbegäran mail.docx", "A 2062-2025")</f>
        <v/>
      </c>
      <c r="AE19">
        <f>HYPERLINK("https://klasma.github.io/Logging_0139/fåglar/A 2062-2025 prioriterade fågelarter.docx", "A 2062-2025")</f>
        <v/>
      </c>
    </row>
    <row r="20" ht="15" customHeight="1">
      <c r="A20" t="inlineStr">
        <is>
          <t>A 25561-2025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45803</v>
      </c>
      <c r="E20" s="1" t="n">
        <v>46249</v>
      </c>
      <c r="F20" t="inlineStr">
        <is>
          <t>STOCKHOLMS LÄN</t>
        </is>
      </c>
      <c r="G20" t="inlineStr">
        <is>
          <t>UPPLANDS-BRO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HYPERLINK("https://klasma.github.io/Logging_0139/artfynd/A 25561-2025 artfynd.xlsx", "A 25561-2025")</f>
        <v/>
      </c>
      <c r="X20">
        <f>HYPERLINK("https://klasma.github.io/Logging_0139/kartor/A 25561-2025 karta.png", "A 25561-2025")</f>
        <v/>
      </c>
      <c r="Y20">
        <f>HYPERLINK("https://klasma.github.io/Logging_0139/kartor_geotiff/A 25561-2025 georefererad karta.tif", "A 25561-2025")</f>
        <v/>
      </c>
      <c r="AA20">
        <f>HYPERLINK("https://klasma.github.io/Logging_0139/klagomål/A 25561-2025 FSC-klagomål.docx", "A 25561-2025")</f>
        <v/>
      </c>
      <c r="AB20">
        <f>HYPERLINK("https://klasma.github.io/Logging_0139/klagomålsmail/A 25561-2025 FSC-klagomål mail.docx", "A 25561-2025")</f>
        <v/>
      </c>
      <c r="AC20">
        <f>HYPERLINK("https://klasma.github.io/Logging_0139/tillsyn/A 25561-2025 tillsynsbegäran.docx", "A 25561-2025")</f>
        <v/>
      </c>
      <c r="AD20">
        <f>HYPERLINK("https://klasma.github.io/Logging_0139/tillsynsmail/A 25561-2025 tillsynsbegäran mail.docx", "A 25561-2025")</f>
        <v/>
      </c>
    </row>
    <row r="21" ht="15" customHeight="1">
      <c r="A21" t="inlineStr">
        <is>
          <t>A 73773-2021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44552</v>
      </c>
      <c r="E21" s="1" t="n">
        <v>46249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Kopparödla</t>
        </is>
      </c>
      <c r="W21">
        <f>HYPERLINK("https://klasma.github.io/Logging_0139/artfynd/A 73773-2021 artfynd.xlsx", "A 73773-2021")</f>
        <v/>
      </c>
      <c r="X21">
        <f>HYPERLINK("https://klasma.github.io/Logging_0139/kartor/A 73773-2021 karta.png", "A 73773-2021")</f>
        <v/>
      </c>
      <c r="Y21">
        <f>HYPERLINK("https://klasma.github.io/Logging_0139/kartor_geotiff/A 73773-2021 georefererad karta.tif", "A 73773-2021")</f>
        <v/>
      </c>
      <c r="AA21">
        <f>HYPERLINK("https://klasma.github.io/Logging_0139/klagomål/A 73773-2021 FSC-klagomål.docx", "A 73773-2021")</f>
        <v/>
      </c>
      <c r="AB21">
        <f>HYPERLINK("https://klasma.github.io/Logging_0139/klagomålsmail/A 73773-2021 FSC-klagomål mail.docx", "A 73773-2021")</f>
        <v/>
      </c>
      <c r="AC21">
        <f>HYPERLINK("https://klasma.github.io/Logging_0139/tillsyn/A 73773-2021 tillsynsbegäran.docx", "A 73773-2021")</f>
        <v/>
      </c>
      <c r="AD21">
        <f>HYPERLINK("https://klasma.github.io/Logging_0139/tillsynsmail/A 73773-2021 tillsynsbegäran mail.docx", "A 73773-2021")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46249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46249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HYPERLINK("https://klasma.github.io/Logging_0139/artfynd/A 26637-2026 artfynd.xlsx", "A 26637-2026")</f>
        <v/>
      </c>
      <c r="X23">
        <f>HYPERLINK("https://klasma.github.io/Logging_0139/kartor/A 26637-2026 karta.png", "A 26637-2026")</f>
        <v/>
      </c>
      <c r="Y23">
        <f>HYPERLINK("https://klasma.github.io/Logging_0139/kartor_geotiff/A 26637-2026 georefererad karta.tif", "A 26637-2026")</f>
        <v/>
      </c>
      <c r="AA23">
        <f>HYPERLINK("https://klasma.github.io/Logging_0139/klagomål/A 26637-2026 FSC-klagomål.docx", "A 26637-2026")</f>
        <v/>
      </c>
      <c r="AB23">
        <f>HYPERLINK("https://klasma.github.io/Logging_0139/klagomålsmail/A 26637-2026 FSC-klagomål mail.docx", "A 26637-2026")</f>
        <v/>
      </c>
      <c r="AC23">
        <f>HYPERLINK("https://klasma.github.io/Logging_0139/tillsyn/A 26637-2026 tillsynsbegäran.docx", "A 26637-2026")</f>
        <v/>
      </c>
      <c r="AD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46249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41465-2021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44424</v>
      </c>
      <c r="E25" s="1" t="n">
        <v>46249</v>
      </c>
      <c r="F25" t="inlineStr">
        <is>
          <t>STOCKHOLMS LÄN</t>
        </is>
      </c>
      <c r="G25" t="inlineStr">
        <is>
          <t>UPPLANDS-BRO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46249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58663-2021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46249</v>
      </c>
      <c r="F27" t="inlineStr">
        <is>
          <t>STOCKHOLMS LÄN</t>
        </is>
      </c>
      <c r="G27" t="inlineStr">
        <is>
          <t>UPPLANDS-BRO</t>
        </is>
      </c>
      <c r="H27" t="inlineStr">
        <is>
          <t>Övriga statliga verk och myndigheter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72523-2021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46249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44442</v>
      </c>
      <c r="E29" s="1" t="n">
        <v>46249</v>
      </c>
      <c r="F29" t="inlineStr">
        <is>
          <t>STOCKHOLMS LÄN</t>
        </is>
      </c>
      <c r="G29" t="inlineStr">
        <is>
          <t>UPPLANDS-BRO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46249</v>
      </c>
      <c r="F30" t="inlineStr">
        <is>
          <t>STOCKHOLMS LÄN</t>
        </is>
      </c>
      <c r="G30" t="inlineStr">
        <is>
          <t>UPPLANDS-BRO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44587</v>
      </c>
      <c r="E31" s="1" t="n">
        <v>46249</v>
      </c>
      <c r="F31" t="inlineStr">
        <is>
          <t>STOCKHOLMS LÄN</t>
        </is>
      </c>
      <c r="G31" t="inlineStr">
        <is>
          <t>UPPLANDS-BRO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44424</v>
      </c>
      <c r="E32" s="1" t="n">
        <v>46249</v>
      </c>
      <c r="F32" t="inlineStr">
        <is>
          <t>STOCKHOLMS LÄN</t>
        </is>
      </c>
      <c r="G32" t="inlineStr">
        <is>
          <t>UPPLANDS-BRO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14719-2022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46249</v>
      </c>
      <c r="F33" t="inlineStr">
        <is>
          <t>STOCKHOLMS LÄN</t>
        </is>
      </c>
      <c r="G33" t="inlineStr">
        <is>
          <t>UPPLANDS-BRO</t>
        </is>
      </c>
      <c r="H33" t="inlineStr">
        <is>
          <t>Allmännings- och besparingsskogar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59700-2021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44494</v>
      </c>
      <c r="E34" s="1" t="n">
        <v>46249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46249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50294-2023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46249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46249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46249</v>
      </c>
      <c r="F38" t="inlineStr">
        <is>
          <t>STOCKHOLMS LÄN</t>
        </is>
      </c>
      <c r="G38" t="inlineStr">
        <is>
          <t>UPPLANDS-BRO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46249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44959</v>
      </c>
      <c r="E40" s="1" t="n">
        <v>46249</v>
      </c>
      <c r="F40" t="inlineStr">
        <is>
          <t>STOCKHOLMS LÄN</t>
        </is>
      </c>
      <c r="G40" t="inlineStr">
        <is>
          <t>UPPLANDS-BRO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18787-2026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46249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7.8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46249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56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46249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46249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46249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46249</v>
      </c>
      <c r="F46" t="inlineStr">
        <is>
          <t>STOCKHOLMS LÄN</t>
        </is>
      </c>
      <c r="G46" t="inlineStr">
        <is>
          <t>UPPLANDS-BRO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59402-2022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44906</v>
      </c>
      <c r="E47" s="1" t="n">
        <v>46249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44950</v>
      </c>
      <c r="E48" s="1" t="n">
        <v>46249</v>
      </c>
      <c r="F48" t="inlineStr">
        <is>
          <t>STOCKHOLMS LÄN</t>
        </is>
      </c>
      <c r="G48" t="inlineStr">
        <is>
          <t>UPPLANDS-BRO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7860-2024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46249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46249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46249</v>
      </c>
      <c r="F51" t="inlineStr">
        <is>
          <t>STOCKHOLMS LÄN</t>
        </is>
      </c>
      <c r="G51" t="inlineStr">
        <is>
          <t>UPPLANDS-BRO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46249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46249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46249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46249</v>
      </c>
      <c r="F55" t="inlineStr">
        <is>
          <t>STOCKHOLMS LÄN</t>
        </is>
      </c>
      <c r="G55" t="inlineStr">
        <is>
          <t>UPPLANDS-BRO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46146</v>
      </c>
      <c r="E56" s="1" t="n">
        <v>46249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44953</v>
      </c>
      <c r="E57" s="1" t="n">
        <v>46249</v>
      </c>
      <c r="F57" t="inlineStr">
        <is>
          <t>STOCKHOLMS LÄN</t>
        </is>
      </c>
      <c r="G57" t="inlineStr">
        <is>
          <t>UPPLANDS-BRO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58011-2021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46249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72524-2021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46249</v>
      </c>
      <c r="F59" t="inlineStr">
        <is>
          <t>STOCKHOLMS LÄN</t>
        </is>
      </c>
      <c r="G59" t="inlineStr">
        <is>
          <t>UPPLANDS-BRO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46249</v>
      </c>
      <c r="F60" t="inlineStr">
        <is>
          <t>STOCKHOLMS LÄN</t>
        </is>
      </c>
      <c r="G60" t="inlineStr">
        <is>
          <t>UPPLANDS-BRO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45701</v>
      </c>
      <c r="E61" s="1" t="n">
        <v>46249</v>
      </c>
      <c r="F61" t="inlineStr">
        <is>
          <t>STOCKHOLMS LÄN</t>
        </is>
      </c>
      <c r="G61" t="inlineStr">
        <is>
          <t>UPPLANDS-BRO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45450</v>
      </c>
      <c r="E62" s="1" t="n">
        <v>46249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27313-2023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46249</v>
      </c>
      <c r="F63" t="inlineStr">
        <is>
          <t>STOCKHOLMS LÄN</t>
        </is>
      </c>
      <c r="G63" t="inlineStr">
        <is>
          <t>UPPLANDS-BRO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46249</v>
      </c>
      <c r="F64" t="inlineStr">
        <is>
          <t>STOCKHOLMS LÄN</t>
        </is>
      </c>
      <c r="G64" t="inlineStr">
        <is>
          <t>UPPLANDS-BRO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46249</v>
      </c>
      <c r="F65" t="inlineStr">
        <is>
          <t>STOCKHOLMS LÄN</t>
        </is>
      </c>
      <c r="G65" t="inlineStr">
        <is>
          <t>UPPLANDS-BRO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23615-2025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45792</v>
      </c>
      <c r="E66" s="1" t="n">
        <v>46249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46249</v>
      </c>
      <c r="F67" t="inlineStr">
        <is>
          <t>STOCKHOLMS LÄN</t>
        </is>
      </c>
      <c r="G67" t="inlineStr">
        <is>
          <t>UPPLANDS-BRO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58598-2025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45986</v>
      </c>
      <c r="E68" s="1" t="n">
        <v>46249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31160-2022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44770</v>
      </c>
      <c r="E69" s="1" t="n">
        <v>46249</v>
      </c>
      <c r="F69" t="inlineStr">
        <is>
          <t>STOCKHOLMS LÄN</t>
        </is>
      </c>
      <c r="G69" t="inlineStr">
        <is>
          <t>UPPLANDS-BRO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26196-2026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46182</v>
      </c>
      <c r="E70" s="1" t="n">
        <v>46249</v>
      </c>
      <c r="F70" t="inlineStr">
        <is>
          <t>STOCKHOLMS LÄN</t>
        </is>
      </c>
      <c r="G70" t="inlineStr">
        <is>
          <t>UPPLANDS-BRO</t>
        </is>
      </c>
      <c r="I70" t="n">
        <v>53.1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46226</v>
      </c>
      <c r="E71" s="1" t="n">
        <v>46249</v>
      </c>
      <c r="F71" t="inlineStr">
        <is>
          <t>STOCKHOLMS LÄN</t>
        </is>
      </c>
      <c r="G71" t="inlineStr">
        <is>
          <t>UPPLANDS-BRO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46249</v>
      </c>
      <c r="F72" t="inlineStr">
        <is>
          <t>STOCKHOLMS LÄN</t>
        </is>
      </c>
      <c r="G72" t="inlineStr">
        <is>
          <t>UPPLANDS-BRO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26629-2026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46249</v>
      </c>
      <c r="F73" t="inlineStr">
        <is>
          <t>STOCKHOLMS LÄN</t>
        </is>
      </c>
      <c r="G73" t="inlineStr">
        <is>
          <t>UPPLANDS-BRO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46249</v>
      </c>
      <c r="F74" t="inlineStr">
        <is>
          <t>STOCKHOLMS LÄN</t>
        </is>
      </c>
      <c r="G74" t="inlineStr">
        <is>
          <t>UPPLANDS-BRO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51587-2023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46249</v>
      </c>
      <c r="F75" t="inlineStr">
        <is>
          <t>STOCKHOLMS LÄN</t>
        </is>
      </c>
      <c r="G75" t="inlineStr">
        <is>
          <t>UPPLANDS-BRO</t>
        </is>
      </c>
      <c r="H75" t="inlineStr">
        <is>
          <t>Allmännings- och besparingsskogar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46249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46249</v>
      </c>
      <c r="F77" t="inlineStr">
        <is>
          <t>STOCKHOLMS LÄN</t>
        </is>
      </c>
      <c r="G77" t="inlineStr">
        <is>
          <t>UPPLANDS-BRO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28740-2026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46198</v>
      </c>
      <c r="E78" s="1" t="n">
        <v>46249</v>
      </c>
      <c r="F78" t="inlineStr">
        <is>
          <t>STOCKHOLMS LÄN</t>
        </is>
      </c>
      <c r="G78" t="inlineStr">
        <is>
          <t>UPPLANDS-BRO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28735-2026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46249</v>
      </c>
      <c r="F79" t="inlineStr">
        <is>
          <t>STOCKHOLMS LÄN</t>
        </is>
      </c>
      <c r="G79" t="inlineStr">
        <is>
          <t>UPPLANDS-BRO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33058-2026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46245</v>
      </c>
      <c r="E80" s="1" t="n">
        <v>46249</v>
      </c>
      <c r="F80" t="inlineStr">
        <is>
          <t>STOCKHOLMS LÄN</t>
        </is>
      </c>
      <c r="G80" t="inlineStr">
        <is>
          <t>UPPLANDS-BRO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10447-2021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44558</v>
      </c>
      <c r="E81" s="1" t="n">
        <v>46249</v>
      </c>
      <c r="F81" t="inlineStr">
        <is>
          <t>STOCKHOLMS LÄN</t>
        </is>
      </c>
      <c r="G81" t="inlineStr">
        <is>
          <t>UPPLANDS-BRO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2026-08-15T08:29:23Z</dcterms:created>
  <dcterms:modified xmlns:dcterms="http://purl.org/dc/terms/" xmlns:xsi="http://www.w3.org/2001/XMLSchema-instance" xsi:type="dcterms:W3CDTF">2026-08-15T08:29:23Z</dcterms:modified>
</cp:coreProperties>
</file>