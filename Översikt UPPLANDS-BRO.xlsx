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45885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45885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12354-2025</t>
        </is>
      </c>
      <c r="B4" s="1" t="n">
        <v>45730.36476851852</v>
      </c>
      <c r="C4" s="1" t="n">
        <v>45885</v>
      </c>
      <c r="D4" t="inlineStr">
        <is>
          <t>STOCKHOLMS LÄN</t>
        </is>
      </c>
      <c r="E4" t="inlineStr">
        <is>
          <t>UPPLANDS-BRO</t>
        </is>
      </c>
      <c r="G4" t="n">
        <v>6.9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Nästrot
Nattviol</t>
        </is>
      </c>
      <c r="S4">
        <f>HYPERLINK("https://klasma.github.io/Logging_0139/artfynd/A 12354-2025 artfynd.xlsx", "A 12354-2025")</f>
        <v/>
      </c>
      <c r="T4">
        <f>HYPERLINK("https://klasma.github.io/Logging_0139/kartor/A 12354-2025 karta.png", "A 12354-2025")</f>
        <v/>
      </c>
      <c r="V4">
        <f>HYPERLINK("https://klasma.github.io/Logging_0139/klagomål/A 12354-2025 FSC-klagomål.docx", "A 12354-2025")</f>
        <v/>
      </c>
      <c r="W4">
        <f>HYPERLINK("https://klasma.github.io/Logging_0139/klagomålsmail/A 12354-2025 FSC-klagomål mail.docx", "A 12354-2025")</f>
        <v/>
      </c>
      <c r="X4">
        <f>HYPERLINK("https://klasma.github.io/Logging_0139/tillsyn/A 12354-2025 tillsynsbegäran.docx", "A 12354-2025")</f>
        <v/>
      </c>
      <c r="Y4">
        <f>HYPERLINK("https://klasma.github.io/Logging_0139/tillsynsmail/A 12354-2025 tillsynsbegäran mail.docx", "A 12354-2025")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45885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45885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Dofttaggsvamp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45885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45885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12390-2025</t>
        </is>
      </c>
      <c r="B9" s="1" t="n">
        <v>45730.39577546297</v>
      </c>
      <c r="C9" s="1" t="n">
        <v>45885</v>
      </c>
      <c r="D9" t="inlineStr">
        <is>
          <t>STOCKHOLMS LÄN</t>
        </is>
      </c>
      <c r="E9" t="inlineStr">
        <is>
          <t>UPPLANDS-BRO</t>
        </is>
      </c>
      <c r="G9" t="n">
        <v>1.5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Nattviol</t>
        </is>
      </c>
      <c r="S9">
        <f>HYPERLINK("https://klasma.github.io/Logging_0139/artfynd/A 12390-2025 artfynd.xlsx", "A 12390-2025")</f>
        <v/>
      </c>
      <c r="T9">
        <f>HYPERLINK("https://klasma.github.io/Logging_0139/kartor/A 12390-2025 karta.png", "A 12390-2025")</f>
        <v/>
      </c>
      <c r="V9">
        <f>HYPERLINK("https://klasma.github.io/Logging_0139/klagomål/A 12390-2025 FSC-klagomål.docx", "A 12390-2025")</f>
        <v/>
      </c>
      <c r="W9">
        <f>HYPERLINK("https://klasma.github.io/Logging_0139/klagomålsmail/A 12390-2025 FSC-klagomål mail.docx", "A 12390-2025")</f>
        <v/>
      </c>
      <c r="X9">
        <f>HYPERLINK("https://klasma.github.io/Logging_0139/tillsyn/A 12390-2025 tillsynsbegäran.docx", "A 12390-2025")</f>
        <v/>
      </c>
      <c r="Y9">
        <f>HYPERLINK("https://klasma.github.io/Logging_0139/tillsynsmail/A 12390-2025 tillsynsbegäran mail.docx", "A 12390-2025")</f>
        <v/>
      </c>
    </row>
    <row r="10" ht="15" customHeight="1">
      <c r="A10" t="inlineStr">
        <is>
          <t>A 7285-2022</t>
        </is>
      </c>
      <c r="B10" s="1" t="n">
        <v>44606</v>
      </c>
      <c r="C10" s="1" t="n">
        <v>45885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22.6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HYPERLINK("https://klasma.github.io/Logging_0139/artfynd/A 7285-2022 artfynd.xlsx", "A 7285-2022")</f>
        <v/>
      </c>
      <c r="T10">
        <f>HYPERLINK("https://klasma.github.io/Logging_0139/kartor/A 7285-2022 karta.png", "A 7285-2022")</f>
        <v/>
      </c>
      <c r="V10">
        <f>HYPERLINK("https://klasma.github.io/Logging_0139/klagomål/A 7285-2022 FSC-klagomål.docx", "A 7285-2022")</f>
        <v/>
      </c>
      <c r="W10">
        <f>HYPERLINK("https://klasma.github.io/Logging_0139/klagomålsmail/A 7285-2022 FSC-klagomål mail.docx", "A 7285-2022")</f>
        <v/>
      </c>
      <c r="X10">
        <f>HYPERLINK("https://klasma.github.io/Logging_0139/tillsyn/A 7285-2022 tillsynsbegäran.docx", "A 7285-2022")</f>
        <v/>
      </c>
      <c r="Y10">
        <f>HYPERLINK("https://klasma.github.io/Logging_0139/tillsynsmail/A 7285-2022 tillsynsbegäran mail.docx", "A 7285-2022")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45885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45885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45885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25561-2025</t>
        </is>
      </c>
      <c r="B14" s="1" t="n">
        <v>45803.45496527778</v>
      </c>
      <c r="C14" s="1" t="n">
        <v>45885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25561-2025 artfynd.xlsx", "A 25561-2025")</f>
        <v/>
      </c>
      <c r="T14">
        <f>HYPERLINK("https://klasma.github.io/Logging_0139/kartor/A 25561-2025 karta.png", "A 25561-2025")</f>
        <v/>
      </c>
      <c r="V14">
        <f>HYPERLINK("https://klasma.github.io/Logging_0139/klagomål/A 25561-2025 FSC-klagomål.docx", "A 25561-2025")</f>
        <v/>
      </c>
      <c r="W14">
        <f>HYPERLINK("https://klasma.github.io/Logging_0139/klagomålsmail/A 25561-2025 FSC-klagomål mail.docx", "A 25561-2025")</f>
        <v/>
      </c>
      <c r="X14">
        <f>HYPERLINK("https://klasma.github.io/Logging_0139/tillsyn/A 25561-2025 tillsynsbegäran.docx", "A 25561-2025")</f>
        <v/>
      </c>
      <c r="Y14">
        <f>HYPERLINK("https://klasma.github.io/Logging_0139/tillsynsmail/A 25561-2025 tillsynsbegäran mail.docx", "A 25561-2025")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45885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45885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47329-2020</t>
        </is>
      </c>
      <c r="B17" s="1" t="n">
        <v>44097</v>
      </c>
      <c r="C17" s="1" t="n">
        <v>45885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47329-2020 artfynd.xlsx", "A 47329-2020")</f>
        <v/>
      </c>
      <c r="T17">
        <f>HYPERLINK("https://klasma.github.io/Logging_0139/kartor/A 47329-2020 karta.png", "A 47329-2020")</f>
        <v/>
      </c>
      <c r="V17">
        <f>HYPERLINK("https://klasma.github.io/Logging_0139/klagomål/A 47329-2020 FSC-klagomål.docx", "A 47329-2020")</f>
        <v/>
      </c>
      <c r="W17">
        <f>HYPERLINK("https://klasma.github.io/Logging_0139/klagomålsmail/A 47329-2020 FSC-klagomål mail.docx", "A 47329-2020")</f>
        <v/>
      </c>
      <c r="X17">
        <f>HYPERLINK("https://klasma.github.io/Logging_0139/tillsyn/A 47329-2020 tillsynsbegäran.docx", "A 47329-2020")</f>
        <v/>
      </c>
      <c r="Y17">
        <f>HYPERLINK("https://klasma.github.io/Logging_0139/tillsynsmail/A 47329-2020 tillsynsbegäran mail.docx", "A 47329-2020")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45885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66949-2020</t>
        </is>
      </c>
      <c r="B19" s="1" t="n">
        <v>44180</v>
      </c>
      <c r="C19" s="1" t="n">
        <v>45885</v>
      </c>
      <c r="D19" t="inlineStr">
        <is>
          <t>STOCKHOLMS LÄN</t>
        </is>
      </c>
      <c r="E19" t="inlineStr">
        <is>
          <t>UPPLANDS-BRO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37421-2021</t>
        </is>
      </c>
      <c r="B20" s="1" t="n">
        <v>44397</v>
      </c>
      <c r="C20" s="1" t="n">
        <v>45885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41465-2021</t>
        </is>
      </c>
      <c r="B21" s="1" t="n">
        <v>44424</v>
      </c>
      <c r="C21" s="1" t="n">
        <v>45885</v>
      </c>
      <c r="D21" t="inlineStr">
        <is>
          <t>STOCKHOLMS LÄN</t>
        </is>
      </c>
      <c r="E21" t="inlineStr">
        <is>
          <t>UPPLANDS-BRO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8261-2022</t>
        </is>
      </c>
      <c r="B22" s="1" t="n">
        <v>44609</v>
      </c>
      <c r="C22" s="1" t="n">
        <v>45885</v>
      </c>
      <c r="D22" t="inlineStr">
        <is>
          <t>STOCKHOLMS LÄN</t>
        </is>
      </c>
      <c r="E22" t="inlineStr">
        <is>
          <t>UPPLANDS-BRO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58663-2021</t>
        </is>
      </c>
      <c r="B23" s="1" t="n">
        <v>44489</v>
      </c>
      <c r="C23" s="1" t="n">
        <v>45885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45885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66960-2020</t>
        </is>
      </c>
      <c r="B25" s="1" t="n">
        <v>44180</v>
      </c>
      <c r="C25" s="1" t="n">
        <v>45885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46244-2021</t>
        </is>
      </c>
      <c r="B26" s="1" t="n">
        <v>44442</v>
      </c>
      <c r="C26" s="1" t="n">
        <v>45885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20604-2022</t>
        </is>
      </c>
      <c r="B27" s="1" t="n">
        <v>44700.46938657408</v>
      </c>
      <c r="C27" s="1" t="n">
        <v>45885</v>
      </c>
      <c r="D27" t="inlineStr">
        <is>
          <t>STOCKHOLMS LÄN</t>
        </is>
      </c>
      <c r="E27" t="inlineStr">
        <is>
          <t>UPPLANDS-BRO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3838-2022</t>
        </is>
      </c>
      <c r="B28" s="1" t="n">
        <v>44587.37274305556</v>
      </c>
      <c r="C28" s="1" t="n">
        <v>45885</v>
      </c>
      <c r="D28" t="inlineStr">
        <is>
          <t>STOCKHOLMS LÄN</t>
        </is>
      </c>
      <c r="E28" t="inlineStr">
        <is>
          <t>UPPLANDS-BRO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36111-2021</t>
        </is>
      </c>
      <c r="B29" s="1" t="n">
        <v>44389.5421875</v>
      </c>
      <c r="C29" s="1" t="n">
        <v>45885</v>
      </c>
      <c r="D29" t="inlineStr">
        <is>
          <t>STOCKHOLMS LÄN</t>
        </is>
      </c>
      <c r="E29" t="inlineStr">
        <is>
          <t>UPPLANDS-BRO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31160-2022</t>
        </is>
      </c>
      <c r="B30" s="1" t="n">
        <v>44770</v>
      </c>
      <c r="C30" s="1" t="n">
        <v>45885</v>
      </c>
      <c r="D30" t="inlineStr">
        <is>
          <t>STOCKHOLMS LÄN</t>
        </is>
      </c>
      <c r="E30" t="inlineStr">
        <is>
          <t>UPPLANDS-BRO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45885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45885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67286-2020</t>
        </is>
      </c>
      <c r="B33" s="1" t="n">
        <v>44181</v>
      </c>
      <c r="C33" s="1" t="n">
        <v>45885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45885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41463-2021</t>
        </is>
      </c>
      <c r="B35" s="1" t="n">
        <v>44424</v>
      </c>
      <c r="C35" s="1" t="n">
        <v>45885</v>
      </c>
      <c r="D35" t="inlineStr">
        <is>
          <t>STOCKHOLMS LÄN</t>
        </is>
      </c>
      <c r="E35" t="inlineStr">
        <is>
          <t>UPPLANDS-BRO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49686-2020</t>
        </is>
      </c>
      <c r="B36" s="1" t="n">
        <v>44106</v>
      </c>
      <c r="C36" s="1" t="n">
        <v>45885</v>
      </c>
      <c r="D36" t="inlineStr">
        <is>
          <t>STOCKHOLMS LÄN</t>
        </is>
      </c>
      <c r="E36" t="inlineStr">
        <is>
          <t>UPPLANDS-BRO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4338-2023</t>
        </is>
      </c>
      <c r="B37" s="1" t="n">
        <v>44953</v>
      </c>
      <c r="C37" s="1" t="n">
        <v>45885</v>
      </c>
      <c r="D37" t="inlineStr">
        <is>
          <t>STOCKHOLMS LÄN</t>
        </is>
      </c>
      <c r="E37" t="inlineStr">
        <is>
          <t>UPPLANDS-BRO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58011-2021</t>
        </is>
      </c>
      <c r="B38" s="1" t="n">
        <v>44487</v>
      </c>
      <c r="C38" s="1" t="n">
        <v>45885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72524-2021</t>
        </is>
      </c>
      <c r="B39" s="1" t="n">
        <v>44546</v>
      </c>
      <c r="C39" s="1" t="n">
        <v>45885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7112-2025</t>
        </is>
      </c>
      <c r="B40" s="1" t="n">
        <v>45701</v>
      </c>
      <c r="C40" s="1" t="n">
        <v>45885</v>
      </c>
      <c r="D40" t="inlineStr">
        <is>
          <t>STOCKHOLMS LÄN</t>
        </is>
      </c>
      <c r="E40" t="inlineStr">
        <is>
          <t>UPPLANDS-BRO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56756-2021</t>
        </is>
      </c>
      <c r="B41" s="1" t="n">
        <v>44481</v>
      </c>
      <c r="C41" s="1" t="n">
        <v>45885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64107-2023</t>
        </is>
      </c>
      <c r="B42" s="1" t="n">
        <v>45279</v>
      </c>
      <c r="C42" s="1" t="n">
        <v>45885</v>
      </c>
      <c r="D42" t="inlineStr">
        <is>
          <t>STOCKHOLMS LÄN</t>
        </is>
      </c>
      <c r="E42" t="inlineStr">
        <is>
          <t>UPPLANDS-BRO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45885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27313-2023</t>
        </is>
      </c>
      <c r="B44" s="1" t="n">
        <v>45096</v>
      </c>
      <c r="C44" s="1" t="n">
        <v>45885</v>
      </c>
      <c r="D44" t="inlineStr">
        <is>
          <t>STOCKHOLMS LÄN</t>
        </is>
      </c>
      <c r="E44" t="inlineStr">
        <is>
          <t>UPPLANDS-BRO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45885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2062-2025</t>
        </is>
      </c>
      <c r="B46" s="1" t="n">
        <v>45671</v>
      </c>
      <c r="C46" s="1" t="n">
        <v>45885</v>
      </c>
      <c r="D46" t="inlineStr">
        <is>
          <t>STOCKHOLMS LÄN</t>
        </is>
      </c>
      <c r="E46" t="inlineStr">
        <is>
          <t>UPPLANDS-BRO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23615-2025</t>
        </is>
      </c>
      <c r="B47" s="1" t="n">
        <v>45792.66532407407</v>
      </c>
      <c r="C47" s="1" t="n">
        <v>45885</v>
      </c>
      <c r="D47" t="inlineStr">
        <is>
          <t>STOCKHOLMS LÄN</t>
        </is>
      </c>
      <c r="E47" t="inlineStr">
        <is>
          <t>UPPLANDS-BRO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23627-2025</t>
        </is>
      </c>
      <c r="B48" s="1" t="n">
        <v>45792.67523148148</v>
      </c>
      <c r="C48" s="1" t="n">
        <v>45885</v>
      </c>
      <c r="D48" t="inlineStr">
        <is>
          <t>STOCKHOLMS LÄN</t>
        </is>
      </c>
      <c r="E48" t="inlineStr">
        <is>
          <t>UPPLANDS-BRO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12892-2025</t>
        </is>
      </c>
      <c r="B49" s="1" t="n">
        <v>45733</v>
      </c>
      <c r="C49" s="1" t="n">
        <v>45885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40514-2021</t>
        </is>
      </c>
      <c r="B50" s="1" t="n">
        <v>44420</v>
      </c>
      <c r="C50" s="1" t="n">
        <v>45885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12442-2025</t>
        </is>
      </c>
      <c r="B51" s="1" t="n">
        <v>45730.47733796296</v>
      </c>
      <c r="C51" s="1" t="n">
        <v>45885</v>
      </c>
      <c r="D51" t="inlineStr">
        <is>
          <t>STOCKHOLMS LÄN</t>
        </is>
      </c>
      <c r="E51" t="inlineStr">
        <is>
          <t>UPPLANDS-BRO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55586-2023</t>
        </is>
      </c>
      <c r="B52" s="1" t="n">
        <v>45232</v>
      </c>
      <c r="C52" s="1" t="n">
        <v>45885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38.9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51587-2023</t>
        </is>
      </c>
      <c r="B53" s="1" t="n">
        <v>45215</v>
      </c>
      <c r="C53" s="1" t="n">
        <v>45885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59700-2021</t>
        </is>
      </c>
      <c r="B54" s="1" t="n">
        <v>44494</v>
      </c>
      <c r="C54" s="1" t="n">
        <v>45885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38902-2024</t>
        </is>
      </c>
      <c r="B55" s="1" t="n">
        <v>45547</v>
      </c>
      <c r="C55" s="1" t="n">
        <v>45885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50294-2023</t>
        </is>
      </c>
      <c r="B56" s="1" t="n">
        <v>45216</v>
      </c>
      <c r="C56" s="1" t="n">
        <v>45885</v>
      </c>
      <c r="D56" t="inlineStr">
        <is>
          <t>STOCKHOLMS LÄN</t>
        </is>
      </c>
      <c r="E56" t="inlineStr">
        <is>
          <t>UPPLANDS-BRO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59848-2022</t>
        </is>
      </c>
      <c r="B57" s="1" t="n">
        <v>44901</v>
      </c>
      <c r="C57" s="1" t="n">
        <v>45885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45885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45885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65954-2020</t>
        </is>
      </c>
      <c r="B60" s="1" t="n">
        <v>44175</v>
      </c>
      <c r="C60" s="1" t="n">
        <v>45885</v>
      </c>
      <c r="D60" t="inlineStr">
        <is>
          <t>STOCKHOLMS LÄN</t>
        </is>
      </c>
      <c r="E60" t="inlineStr">
        <is>
          <t>UPPLANDS-BRO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64110-2023</t>
        </is>
      </c>
      <c r="B61" s="1" t="n">
        <v>45279</v>
      </c>
      <c r="C61" s="1" t="n">
        <v>45885</v>
      </c>
      <c r="D61" t="inlineStr">
        <is>
          <t>STOCKHOLMS LÄN</t>
        </is>
      </c>
      <c r="E61" t="inlineStr">
        <is>
          <t>UPPLANDS-BRO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10910-2025</t>
        </is>
      </c>
      <c r="B62" s="1" t="n">
        <v>45722</v>
      </c>
      <c r="C62" s="1" t="n">
        <v>45885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12372-2025</t>
        </is>
      </c>
      <c r="B63" s="1" t="n">
        <v>45730.37740740741</v>
      </c>
      <c r="C63" s="1" t="n">
        <v>45885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5264-2023</t>
        </is>
      </c>
      <c r="B64" s="1" t="n">
        <v>44959</v>
      </c>
      <c r="C64" s="1" t="n">
        <v>45885</v>
      </c>
      <c r="D64" t="inlineStr">
        <is>
          <t>STOCKHOLMS LÄN</t>
        </is>
      </c>
      <c r="E64" t="inlineStr">
        <is>
          <t>UPPLANDS-BRO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2600-2024</t>
        </is>
      </c>
      <c r="B65" s="1" t="n">
        <v>45313</v>
      </c>
      <c r="C65" s="1" t="n">
        <v>45885</v>
      </c>
      <c r="D65" t="inlineStr">
        <is>
          <t>STOCKHOLMS LÄN</t>
        </is>
      </c>
      <c r="E65" t="inlineStr">
        <is>
          <t>UPPLANDS-BRO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7275-2022</t>
        </is>
      </c>
      <c r="B66" s="1" t="n">
        <v>44606</v>
      </c>
      <c r="C66" s="1" t="n">
        <v>45885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2602-2024</t>
        </is>
      </c>
      <c r="B67" s="1" t="n">
        <v>45313.73068287037</v>
      </c>
      <c r="C67" s="1" t="n">
        <v>45885</v>
      </c>
      <c r="D67" t="inlineStr">
        <is>
          <t>STOCKHOLMS LÄN</t>
        </is>
      </c>
      <c r="E67" t="inlineStr">
        <is>
          <t>UPPLANDS-BRO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59402-2022</t>
        </is>
      </c>
      <c r="B68" s="1" t="n">
        <v>44906</v>
      </c>
      <c r="C68" s="1" t="n">
        <v>45885</v>
      </c>
      <c r="D68" t="inlineStr">
        <is>
          <t>STOCKHOLMS LÄN</t>
        </is>
      </c>
      <c r="E68" t="inlineStr">
        <is>
          <t>UPPLANDS-BRO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50698-2020</t>
        </is>
      </c>
      <c r="B69" s="1" t="n">
        <v>44111</v>
      </c>
      <c r="C69" s="1" t="n">
        <v>45885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7110-2025</t>
        </is>
      </c>
      <c r="B70" s="1" t="n">
        <v>45701</v>
      </c>
      <c r="C70" s="1" t="n">
        <v>45885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17.3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3630-2023</t>
        </is>
      </c>
      <c r="B71" s="1" t="n">
        <v>44950</v>
      </c>
      <c r="C71" s="1" t="n">
        <v>45885</v>
      </c>
      <c r="D71" t="inlineStr">
        <is>
          <t>STOCKHOLMS LÄN</t>
        </is>
      </c>
      <c r="E71" t="inlineStr">
        <is>
          <t>UPPLANDS-BRO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7860-2024</t>
        </is>
      </c>
      <c r="B72" s="1" t="n">
        <v>45348</v>
      </c>
      <c r="C72" s="1" t="n">
        <v>45885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45885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31370-2021</t>
        </is>
      </c>
      <c r="B74" s="1" t="n">
        <v>44368</v>
      </c>
      <c r="C74" s="1" t="n">
        <v>45885</v>
      </c>
      <c r="D74" t="inlineStr">
        <is>
          <t>STOCKHOLMS LÄN</t>
        </is>
      </c>
      <c r="E74" t="inlineStr">
        <is>
          <t>UPPLANDS-BRO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23098-2024</t>
        </is>
      </c>
      <c r="B75" s="1" t="n">
        <v>45450</v>
      </c>
      <c r="C75" s="1" t="n">
        <v>45885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55541-2020</t>
        </is>
      </c>
      <c r="B76" s="1" t="n">
        <v>44131</v>
      </c>
      <c r="C76" s="1" t="n">
        <v>45885</v>
      </c>
      <c r="D76" t="inlineStr">
        <is>
          <t>STOCKHOLMS LÄN</t>
        </is>
      </c>
      <c r="E76" t="inlineStr">
        <is>
          <t>UPPLANDS-BRO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12444-2025</t>
        </is>
      </c>
      <c r="B77" s="1" t="n">
        <v>45730.48152777777</v>
      </c>
      <c r="C77" s="1" t="n">
        <v>45885</v>
      </c>
      <c r="D77" t="inlineStr">
        <is>
          <t>STOCKHOLMS LÄN</t>
        </is>
      </c>
      <c r="E77" t="inlineStr">
        <is>
          <t>UPPLANDS-BRO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64105-2023</t>
        </is>
      </c>
      <c r="B78" s="1" t="n">
        <v>45279</v>
      </c>
      <c r="C78" s="1" t="n">
        <v>45885</v>
      </c>
      <c r="D78" t="inlineStr">
        <is>
          <t>STOCKHOLMS LÄN</t>
        </is>
      </c>
      <c r="E78" t="inlineStr">
        <is>
          <t>UPPLANDS-BRO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21560-2021</t>
        </is>
      </c>
      <c r="B79" s="1" t="n">
        <v>44321</v>
      </c>
      <c r="C79" s="1" t="n">
        <v>45885</v>
      </c>
      <c r="D79" t="inlineStr">
        <is>
          <t>STOCKHOLMS LÄN</t>
        </is>
      </c>
      <c r="E79" t="inlineStr">
        <is>
          <t>UPPLANDS-BRO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12363-2025</t>
        </is>
      </c>
      <c r="B80" s="1" t="n">
        <v>45730.37431712963</v>
      </c>
      <c r="C80" s="1" t="n">
        <v>45885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64114-2023</t>
        </is>
      </c>
      <c r="B81" s="1" t="n">
        <v>45279</v>
      </c>
      <c r="C81" s="1" t="n">
        <v>45885</v>
      </c>
      <c r="D81" t="inlineStr">
        <is>
          <t>STOCKHOLMS LÄN</t>
        </is>
      </c>
      <c r="E81" t="inlineStr">
        <is>
          <t>UPPLANDS-BRO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45885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54222-2023</t>
        </is>
      </c>
      <c r="B83" s="1" t="n">
        <v>45225</v>
      </c>
      <c r="C83" s="1" t="n">
        <v>45885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8.300000000000001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12378-2025</t>
        </is>
      </c>
      <c r="B84" s="1" t="n">
        <v>45730.38032407407</v>
      </c>
      <c r="C84" s="1" t="n">
        <v>45885</v>
      </c>
      <c r="D84" t="inlineStr">
        <is>
          <t>STOCKHOLMS LÄN</t>
        </is>
      </c>
      <c r="E84" t="inlineStr">
        <is>
          <t>UPPLANDS-BRO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10912-2025</t>
        </is>
      </c>
      <c r="B85" s="1" t="n">
        <v>45722</v>
      </c>
      <c r="C85" s="1" t="n">
        <v>45885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10935-2025</t>
        </is>
      </c>
      <c r="B86" s="1" t="n">
        <v>45722</v>
      </c>
      <c r="C86" s="1" t="n">
        <v>45885</v>
      </c>
      <c r="D86" t="inlineStr">
        <is>
          <t>STOCKHOLMS LÄN</t>
        </is>
      </c>
      <c r="E86" t="inlineStr">
        <is>
          <t>UPPLANDS-BRO</t>
        </is>
      </c>
      <c r="F86" t="inlineStr">
        <is>
          <t>Allmännings- och besparingsskogar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2025-08-16T08:32:20Z</dcterms:created>
  <dcterms:modified xmlns:dcterms="http://purl.org/dc/terms/" xmlns:xsi="http://www.w3.org/2001/XMLSchema-instance" xsi:type="dcterms:W3CDTF">2025-08-16T08:32:20Z</dcterms:modified>
</cp:coreProperties>
</file>