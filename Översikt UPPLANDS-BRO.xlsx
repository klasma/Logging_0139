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46272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46272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46272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46272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46272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Fläcknycklar
Nattviol</t>
        </is>
      </c>
      <c r="W7">
        <f>HYPERLINK("https://klasma.github.io/Logging_0139/artfynd/A 18790-2026 artfynd.xlsx", "A 18790-2026")</f>
        <v/>
      </c>
      <c r="X7">
        <f>HYPERLINK("https://klasma.github.io/Logging_0139/kartor/A 18790-2026 karta.png", "A 18790-2026")</f>
        <v/>
      </c>
      <c r="Y7">
        <f>HYPERLINK("https://klasma.github.io/Logging_0139/kartor_geotiff/A 18790-2026 georefererad karta.tif", "A 18790-2026")</f>
        <v/>
      </c>
      <c r="AA7">
        <f>HYPERLINK("https://klasma.github.io/Logging_0139/klagomål/A 18790-2026 FSC-klagomål.docx", "A 18790-2026")</f>
        <v/>
      </c>
      <c r="AB7">
        <f>HYPERLINK("https://klasma.github.io/Logging_0139/klagomålsmail/A 18790-2026 FSC-klagomål mail.docx", "A 18790-2026")</f>
        <v/>
      </c>
      <c r="AC7">
        <f>HYPERLINK("https://klasma.github.io/Logging_0139/tillsyn/A 18790-2026 tillsynsbegäran.docx", "A 18790-2026")</f>
        <v/>
      </c>
      <c r="AD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46272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46272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46272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46272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44552</v>
      </c>
      <c r="E12" s="1" t="n">
        <v>46272</v>
      </c>
      <c r="F12" t="inlineStr">
        <is>
          <t>STOCKHOLMS LÄN</t>
        </is>
      </c>
      <c r="G12" t="inlineStr">
        <is>
          <t>UPPLANDS-BRO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Kopparödla</t>
        </is>
      </c>
      <c r="W12">
        <f>HYPERLINK("https://klasma.github.io/Logging_0139/artfynd/A 73773-2021 artfynd.xlsx", "A 73773-2021")</f>
        <v/>
      </c>
      <c r="X12">
        <f>HYPERLINK("https://klasma.github.io/Logging_0139/kartor/A 73773-2021 karta.png", "A 73773-2021")</f>
        <v/>
      </c>
      <c r="Y12">
        <f>HYPERLINK("https://klasma.github.io/Logging_0139/kartor_geotiff/A 73773-2021 georefererad karta.tif", "A 73773-2021")</f>
        <v/>
      </c>
      <c r="AA12">
        <f>HYPERLINK("https://klasma.github.io/Logging_0139/klagomål/A 73773-2021 FSC-klagomål.docx", "A 73773-2021")</f>
        <v/>
      </c>
      <c r="AB12">
        <f>HYPERLINK("https://klasma.github.io/Logging_0139/klagomålsmail/A 73773-2021 FSC-klagomål mail.docx", "A 73773-2021")</f>
        <v/>
      </c>
      <c r="AC12">
        <f>HYPERLINK("https://klasma.github.io/Logging_0139/tillsyn/A 73773-2021 tillsynsbegäran.docx", "A 73773-2021")</f>
        <v/>
      </c>
      <c r="AD12">
        <f>HYPERLINK("https://klasma.github.io/Logging_0139/tillsynsmail/A 73773-2021 tillsynsbegäran mail.docx", "A 73773-2021")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46272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2409-2026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46272</v>
      </c>
      <c r="F14" t="inlineStr">
        <is>
          <t>STOCKHOLMS LÄN</t>
        </is>
      </c>
      <c r="G14" t="inlineStr">
        <is>
          <t>UPPLANDS-BRO</t>
        </is>
      </c>
      <c r="I14" t="n">
        <v>14.2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HYPERLINK("https://klasma.github.io/Logging_0139/artfynd/A 2409-2026 artfynd.xlsx", "A 2409-2026")</f>
        <v/>
      </c>
      <c r="X14">
        <f>HYPERLINK("https://klasma.github.io/Logging_0139/kartor/A 2409-2026 karta.png", "A 2409-2026")</f>
        <v/>
      </c>
      <c r="Y14">
        <f>HYPERLINK("https://klasma.github.io/Logging_0139/kartor_geotiff/A 2409-2026 georefererad karta.tif", "A 2409-2026")</f>
        <v/>
      </c>
      <c r="AA14">
        <f>HYPERLINK("https://klasma.github.io/Logging_0139/klagomål/A 2409-2026 FSC-klagomål.docx", "A 2409-2026")</f>
        <v/>
      </c>
      <c r="AB14">
        <f>HYPERLINK("https://klasma.github.io/Logging_0139/klagomålsmail/A 2409-2026 FSC-klagomål mail.docx", "A 2409-2026")</f>
        <v/>
      </c>
      <c r="AC14">
        <f>HYPERLINK("https://klasma.github.io/Logging_0139/tillsyn/A 2409-2026 tillsynsbegäran.docx", "A 2409-2026")</f>
        <v/>
      </c>
      <c r="AD14">
        <f>HYPERLINK("https://klasma.github.io/Logging_0139/tillsynsmail/A 2409-2026 tillsynsbegäran mail.docx", "A 2409-2026")</f>
        <v/>
      </c>
      <c r="AE14">
        <f>HYPERLINK("https://klasma.github.io/Logging_0139/fåglar/A 2409-2026 prioriterade fågelarter.docx", "A 2409-2026")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46272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46272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46272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46272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Myskbock</t>
        </is>
      </c>
      <c r="W18">
        <f>HYPERLINK("https://klasma.github.io/Logging_0139/artfynd/A 11447-2025 artfynd.xlsx", "A 11447-2025")</f>
        <v/>
      </c>
      <c r="X18">
        <f>HYPERLINK("https://klasma.github.io/Logging_0139/kartor/A 11447-2025 karta.png", "A 11447-2025")</f>
        <v/>
      </c>
      <c r="Y18">
        <f>HYPERLINK("https://klasma.github.io/Logging_0139/kartor_geotiff/A 11447-2025 georefererad karta.tif", "A 11447-2025")</f>
        <v/>
      </c>
      <c r="AA18">
        <f>HYPERLINK("https://klasma.github.io/Logging_0139/klagomål/A 11447-2025 FSC-klagomål.docx", "A 11447-2025")</f>
        <v/>
      </c>
      <c r="AB18">
        <f>HYPERLINK("https://klasma.github.io/Logging_0139/klagomålsmail/A 11447-2025 FSC-klagomål mail.docx", "A 11447-2025")</f>
        <v/>
      </c>
      <c r="AC18">
        <f>HYPERLINK("https://klasma.github.io/Logging_0139/tillsyn/A 11447-2025 tillsynsbegäran.docx", "A 11447-2025")</f>
        <v/>
      </c>
      <c r="AD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46272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Bombmurkla</t>
        </is>
      </c>
      <c r="W19">
        <f>HYPERLINK("https://klasma.github.io/Logging_0139/artfynd/A 7955-2023 artfynd.xlsx", "A 7955-2023")</f>
        <v/>
      </c>
      <c r="X19">
        <f>HYPERLINK("https://klasma.github.io/Logging_0139/kartor/A 7955-2023 karta.png", "A 7955-2023")</f>
        <v/>
      </c>
      <c r="Y19">
        <f>HYPERLINK("https://klasma.github.io/Logging_0139/kartor_geotiff/A 7955-2023 georefererad karta.tif", "A 7955-2023")</f>
        <v/>
      </c>
      <c r="AA19">
        <f>HYPERLINK("https://klasma.github.io/Logging_0139/klagomål/A 7955-2023 FSC-klagomål.docx", "A 7955-2023")</f>
        <v/>
      </c>
      <c r="AB19">
        <f>HYPERLINK("https://klasma.github.io/Logging_0139/klagomålsmail/A 7955-2023 FSC-klagomål mail.docx", "A 7955-2023")</f>
        <v/>
      </c>
      <c r="AC19">
        <f>HYPERLINK("https://klasma.github.io/Logging_0139/tillsyn/A 7955-2023 tillsynsbegäran.docx", "A 7955-2023")</f>
        <v/>
      </c>
      <c r="AD19">
        <f>HYPERLINK("https://klasma.github.io/Logging_0139/tillsynsmail/A 7955-2023 tillsynsbegäran mail.docx", "A 7955-2023")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46272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46272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46272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Skogsalmsdvärgmal</t>
        </is>
      </c>
      <c r="W22">
        <f>HYPERLINK("https://klasma.github.io/Logging_0139/artfynd/A 64098-2023 artfynd.xlsx", "A 64098-2023")</f>
        <v/>
      </c>
      <c r="X22">
        <f>HYPERLINK("https://klasma.github.io/Logging_0139/kartor/A 64098-2023 karta.png", "A 64098-2023")</f>
        <v/>
      </c>
      <c r="Y22">
        <f>HYPERLINK("https://klasma.github.io/Logging_0139/kartor_geotiff/A 64098-2023 georefererad karta.tif", "A 64098-2023")</f>
        <v/>
      </c>
      <c r="AA22">
        <f>HYPERLINK("https://klasma.github.io/Logging_0139/klagomål/A 64098-2023 FSC-klagomål.docx", "A 64098-2023")</f>
        <v/>
      </c>
      <c r="AB22">
        <f>HYPERLINK("https://klasma.github.io/Logging_0139/klagomålsmail/A 64098-2023 FSC-klagomål mail.docx", "A 64098-2023")</f>
        <v/>
      </c>
      <c r="AC22">
        <f>HYPERLINK("https://klasma.github.io/Logging_0139/tillsyn/A 64098-2023 tillsynsbegäran.docx", "A 64098-2023")</f>
        <v/>
      </c>
      <c r="AD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46272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46272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46272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46272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46272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46272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46272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46272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46272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45313</v>
      </c>
      <c r="E32" s="1" t="n">
        <v>46272</v>
      </c>
      <c r="F32" t="inlineStr">
        <is>
          <t>STOCKHOLMS LÄN</t>
        </is>
      </c>
      <c r="G32" t="inlineStr">
        <is>
          <t>UPPLANDS-BRO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46272</v>
      </c>
      <c r="F33" t="inlineStr">
        <is>
          <t>STOCKHOLMS LÄN</t>
        </is>
      </c>
      <c r="G33" t="inlineStr">
        <is>
          <t>UPPLANDS-BRO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46272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46272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46272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46272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46272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46272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46272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46272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46272</v>
      </c>
      <c r="F42" t="inlineStr">
        <is>
          <t>STOCKHOLMS LÄN</t>
        </is>
      </c>
      <c r="G42" t="inlineStr">
        <is>
          <t>UPPLANDS-BRO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9655-2026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46272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64110-2023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45279</v>
      </c>
      <c r="E44" s="1" t="n">
        <v>46272</v>
      </c>
      <c r="F44" t="inlineStr">
        <is>
          <t>STOCKHOLMS LÄN</t>
        </is>
      </c>
      <c r="G44" t="inlineStr">
        <is>
          <t>UPPLANDS-BRO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23098-2024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45450</v>
      </c>
      <c r="E45" s="1" t="n">
        <v>46272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45638</v>
      </c>
      <c r="E46" s="1" t="n">
        <v>46272</v>
      </c>
      <c r="F46" t="inlineStr">
        <is>
          <t>STOCKHOLMS LÄN</t>
        </is>
      </c>
      <c r="G46" t="inlineStr">
        <is>
          <t>UPPLANDS-BRO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46272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18778-2026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46128</v>
      </c>
      <c r="E48" s="1" t="n">
        <v>46272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18813-2026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46128</v>
      </c>
      <c r="E49" s="1" t="n">
        <v>46272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56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18818-2026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46272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46272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7.8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44959</v>
      </c>
      <c r="E52" s="1" t="n">
        <v>46272</v>
      </c>
      <c r="F52" t="inlineStr">
        <is>
          <t>STOCKHOLMS LÄN</t>
        </is>
      </c>
      <c r="G52" t="inlineStr">
        <is>
          <t>UPPLANDS-BRO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46272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72524-2021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46272</v>
      </c>
      <c r="F54" t="inlineStr">
        <is>
          <t>STOCKHOLMS LÄN</t>
        </is>
      </c>
      <c r="G54" t="inlineStr">
        <is>
          <t>UPPLANDS-BRO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21206-2026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46272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4338-2023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44953</v>
      </c>
      <c r="E56" s="1" t="n">
        <v>46272</v>
      </c>
      <c r="F56" t="inlineStr">
        <is>
          <t>STOCKHOLMS LÄN</t>
        </is>
      </c>
      <c r="G56" t="inlineStr">
        <is>
          <t>UPPLANDS-BRO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46272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10.7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59700-2021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44494</v>
      </c>
      <c r="E58" s="1" t="n">
        <v>46272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46170</v>
      </c>
      <c r="E59" s="1" t="n">
        <v>46272</v>
      </c>
      <c r="F59" t="inlineStr">
        <is>
          <t>STOCKHOLMS LÄN</t>
        </is>
      </c>
      <c r="G59" t="inlineStr">
        <is>
          <t>UPPLANDS-BRO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46272</v>
      </c>
      <c r="F60" t="inlineStr">
        <is>
          <t>STOCKHOLMS LÄN</t>
        </is>
      </c>
      <c r="G60" t="inlineStr">
        <is>
          <t>UPPLANDS-BRO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45986</v>
      </c>
      <c r="E61" s="1" t="n">
        <v>46272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46182</v>
      </c>
      <c r="E62" s="1" t="n">
        <v>46272</v>
      </c>
      <c r="F62" t="inlineStr">
        <is>
          <t>STOCKHOLMS LÄN</t>
        </is>
      </c>
      <c r="G62" t="inlineStr">
        <is>
          <t>UPPLANDS-BRO</t>
        </is>
      </c>
      <c r="I62" t="n">
        <v>53.1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26633-2026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46272</v>
      </c>
      <c r="F63" t="inlineStr">
        <is>
          <t>STOCKHOLMS LÄN</t>
        </is>
      </c>
      <c r="G63" t="inlineStr">
        <is>
          <t>UPPLANDS-BRO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46272</v>
      </c>
      <c r="F64" t="inlineStr">
        <is>
          <t>STOCKHOLMS LÄN</t>
        </is>
      </c>
      <c r="G64" t="inlineStr">
        <is>
          <t>UPPLANDS-BRO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26629-2026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46272</v>
      </c>
      <c r="F65" t="inlineStr">
        <is>
          <t>STOCKHOLMS LÄN</t>
        </is>
      </c>
      <c r="G65" t="inlineStr">
        <is>
          <t>UPPLANDS-BRO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46043</v>
      </c>
      <c r="E66" s="1" t="n">
        <v>46272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28735-2026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46272</v>
      </c>
      <c r="F67" t="inlineStr">
        <is>
          <t>STOCKHOLMS LÄN</t>
        </is>
      </c>
      <c r="G67" t="inlineStr">
        <is>
          <t>UPPLANDS-BRO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46198</v>
      </c>
      <c r="E68" s="1" t="n">
        <v>46272</v>
      </c>
      <c r="F68" t="inlineStr">
        <is>
          <t>STOCKHOLMS LÄN</t>
        </is>
      </c>
      <c r="G68" t="inlineStr">
        <is>
          <t>UPPLANDS-BRO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46272</v>
      </c>
      <c r="F69" t="inlineStr">
        <is>
          <t>STOCKHOLMS LÄN</t>
        </is>
      </c>
      <c r="G69" t="inlineStr">
        <is>
          <t>UPPLANDS-BRO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46272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33058-2026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46245</v>
      </c>
      <c r="E71" s="1" t="n">
        <v>46272</v>
      </c>
      <c r="F71" t="inlineStr">
        <is>
          <t>STOCKHOLMS LÄN</t>
        </is>
      </c>
      <c r="G71" t="inlineStr">
        <is>
          <t>UPPLANDS-BRO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46272</v>
      </c>
      <c r="F72" t="inlineStr">
        <is>
          <t>STOCKHOLMS LÄN</t>
        </is>
      </c>
      <c r="G72" t="inlineStr">
        <is>
          <t>UPPLANDS-BRO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45701</v>
      </c>
      <c r="E73" s="1" t="n">
        <v>46272</v>
      </c>
      <c r="F73" t="inlineStr">
        <is>
          <t>STOCKHOLMS LÄN</t>
        </is>
      </c>
      <c r="G73" t="inlineStr">
        <is>
          <t>UPPLANDS-BRO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38902-2024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46272</v>
      </c>
      <c r="F74" t="inlineStr">
        <is>
          <t>STOCKHOLMS LÄN</t>
        </is>
      </c>
      <c r="G74" t="inlineStr">
        <is>
          <t>UPPLANDS-BRO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46272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46272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46226</v>
      </c>
      <c r="E77" s="1" t="n">
        <v>46272</v>
      </c>
      <c r="F77" t="inlineStr">
        <is>
          <t>STOCKHOLMS LÄN</t>
        </is>
      </c>
      <c r="G77" t="inlineStr">
        <is>
          <t>UPPLANDS-BRO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>
      <c r="A78" t="inlineStr">
        <is>
          <t>S 10447-2021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44558</v>
      </c>
      <c r="E78" s="1" t="n">
        <v>46272</v>
      </c>
      <c r="F78" t="inlineStr">
        <is>
          <t>STOCKHOLMS LÄN</t>
        </is>
      </c>
      <c r="G78" t="inlineStr">
        <is>
          <t>UPPLANDS-BRO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2026-09-07T02:05:56Z</dcterms:created>
  <dcterms:modified xmlns:dcterms="http://purl.org/dc/terms/" xmlns:xsi="http://www.w3.org/2001/XMLSchema-instance" xsi:type="dcterms:W3CDTF">2026-09-07T02:05:56Z</dcterms:modified>
</cp:coreProperties>
</file>