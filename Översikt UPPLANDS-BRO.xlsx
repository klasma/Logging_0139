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4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Klotsporig murkla
Motaggsvamp
Talltita
Älg
Blåmossa
Bronshjon
Rödbrun jordstjärna
Stubbspretmossa
Svavelriska
Thomsons trägnagare
Vitvaxing agg.
Vågbandad barkbock
Blåsippa
Spillkråka
Kungsfågel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56756-2021</t>
        </is>
      </c>
      <c r="B3" s="1" t="n">
        <v>44481</v>
      </c>
      <c r="C3" s="1" t="n">
        <v>46191</v>
      </c>
      <c r="D3" t="inlineStr">
        <is>
          <t>STOCKHOLMS LÄN</t>
        </is>
      </c>
      <c r="E3" t="inlineStr">
        <is>
          <t>UPPLANDS-BRO</t>
        </is>
      </c>
      <c r="G3" t="n">
        <v>1.1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Entita
Spillkråka
Tallbit
Grönsiska
Kungsfågel</t>
        </is>
      </c>
      <c r="S3">
        <f>HYPERLINK("https://klasma.github.io/Logging_0139/artfynd/A 56756-2021 artfynd.xlsx", "A 56756-2021")</f>
        <v/>
      </c>
      <c r="T3">
        <f>HYPERLINK("https://klasma.github.io/Logging_0139/kartor/A 56756-2021 karta.png", "A 56756-2021")</f>
        <v/>
      </c>
      <c r="V3">
        <f>HYPERLINK("https://klasma.github.io/Logging_0139/klagomål/A 56756-2021 FSC-klagomål.docx", "A 56756-2021")</f>
        <v/>
      </c>
      <c r="W3">
        <f>HYPERLINK("https://klasma.github.io/Logging_0139/klagomålsmail/A 56756-2021 FSC-klagomål mail.docx", "A 56756-2021")</f>
        <v/>
      </c>
      <c r="X3">
        <f>HYPERLINK("https://klasma.github.io/Logging_0139/tillsyn/A 56756-2021 tillsynsbegäran.docx", "A 56756-2021")</f>
        <v/>
      </c>
      <c r="Y3">
        <f>HYPERLINK("https://klasma.github.io/Logging_0139/tillsynsmail/A 56756-2021 tillsynsbegäran mail.docx", "A 56756-2021")</f>
        <v/>
      </c>
      <c r="Z3">
        <f>HYPERLINK("https://klasma.github.io/Logging_0139/fåglar/A 56756-2021 prioriterade fågelarter.docx", "A 56756-2021")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Skarp dropptaggsvamp
Blomkålssvamp
Grovticka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46191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Blek fingersvamp
Dofttaggsvamp
Skarp dropptaggsvamp
Svartvit 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55586-2023</t>
        </is>
      </c>
      <c r="B7" s="1" t="n">
        <v>45232</v>
      </c>
      <c r="C7" s="1" t="n">
        <v>46191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38.9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Fyrflikig jordstjärna
Nästrot
Blåsippa</t>
        </is>
      </c>
      <c r="S7">
        <f>HYPERLINK("https://klasma.github.io/Logging_0139/artfynd/A 55586-2023 artfynd.xlsx", "A 55586-2023")</f>
        <v/>
      </c>
      <c r="T7">
        <f>HYPERLINK("https://klasma.github.io/Logging_0139/kartor/A 55586-2023 karta.png", "A 55586-2023")</f>
        <v/>
      </c>
      <c r="V7">
        <f>HYPERLINK("https://klasma.github.io/Logging_0139/klagomål/A 55586-2023 FSC-klagomål.docx", "A 55586-2023")</f>
        <v/>
      </c>
      <c r="W7">
        <f>HYPERLINK("https://klasma.github.io/Logging_0139/klagomålsmail/A 55586-2023 FSC-klagomål mail.docx", "A 55586-2023")</f>
        <v/>
      </c>
      <c r="X7">
        <f>HYPERLINK("https://klasma.github.io/Logging_0139/tillsyn/A 55586-2023 tillsynsbegäran.docx", "A 55586-2023")</f>
        <v/>
      </c>
      <c r="Y7">
        <f>HYPERLINK("https://klasma.github.io/Logging_0139/tillsynsmail/A 55586-2023 tillsynsbegäran mail.docx", "A 55586-2023")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46191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46191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46191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46191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46191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12363-2025</t>
        </is>
      </c>
      <c r="B13" s="1" t="n">
        <v>45730</v>
      </c>
      <c r="C13" s="1" t="n">
        <v>46191</v>
      </c>
      <c r="D13" t="inlineStr">
        <is>
          <t>STOCKHOLMS LÄN</t>
        </is>
      </c>
      <c r="E13" t="inlineStr">
        <is>
          <t>UPPLANDS-BRO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HYPERLINK("https://klasma.github.io/Logging_0139/artfynd/A 12363-2025 artfynd.xlsx", "A 12363-2025")</f>
        <v/>
      </c>
      <c r="T13">
        <f>HYPERLINK("https://klasma.github.io/Logging_0139/kartor/A 12363-2025 karta.png", "A 12363-2025")</f>
        <v/>
      </c>
      <c r="V13">
        <f>HYPERLINK("https://klasma.github.io/Logging_0139/klagomål/A 12363-2025 FSC-klagomål.docx", "A 12363-2025")</f>
        <v/>
      </c>
      <c r="W13">
        <f>HYPERLINK("https://klasma.github.io/Logging_0139/klagomålsmail/A 12363-2025 FSC-klagomål mail.docx", "A 12363-2025")</f>
        <v/>
      </c>
      <c r="X13">
        <f>HYPERLINK("https://klasma.github.io/Logging_0139/tillsyn/A 12363-2025 tillsynsbegäran.docx", "A 12363-2025")</f>
        <v/>
      </c>
      <c r="Y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s="1" t="n">
        <v>45959</v>
      </c>
      <c r="C14" s="1" t="n">
        <v>46191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46191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46191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46191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46438-2023</t>
        </is>
      </c>
      <c r="B18" s="1" t="n">
        <v>45197</v>
      </c>
      <c r="C18" s="1" t="n">
        <v>46191</v>
      </c>
      <c r="D18" t="inlineStr">
        <is>
          <t>STOCKHOLMS LÄN</t>
        </is>
      </c>
      <c r="E18" t="inlineStr">
        <is>
          <t>UPPLANDS-BRO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46438-2023 artfynd.xlsx", "A 46438-2023")</f>
        <v/>
      </c>
      <c r="T18">
        <f>HYPERLINK("https://klasma.github.io/Logging_0139/kartor/A 46438-2023 karta.png", "A 46438-2023")</f>
        <v/>
      </c>
      <c r="V18">
        <f>HYPERLINK("https://klasma.github.io/Logging_0139/klagomål/A 46438-2023 FSC-klagomål.docx", "A 46438-2023")</f>
        <v/>
      </c>
      <c r="W18">
        <f>HYPERLINK("https://klasma.github.io/Logging_0139/klagomålsmail/A 46438-2023 FSC-klagomål mail.docx", "A 46438-2023")</f>
        <v/>
      </c>
      <c r="X18">
        <f>HYPERLINK("https://klasma.github.io/Logging_0139/tillsyn/A 46438-2023 tillsynsbegäran.docx", "A 46438-2023")</f>
        <v/>
      </c>
      <c r="Y18">
        <f>HYPERLINK("https://klasma.github.io/Logging_0139/tillsynsmail/A 46438-2023 tillsynsbegäran mail.docx", "A 46438-2023")</f>
        <v/>
      </c>
    </row>
    <row r="19" ht="15" customHeight="1">
      <c r="A19" t="inlineStr">
        <is>
          <t>A 26623-2026</t>
        </is>
      </c>
      <c r="B19" s="1" t="n">
        <v>46184</v>
      </c>
      <c r="C19" s="1" t="n">
        <v>46191</v>
      </c>
      <c r="D19" t="inlineStr">
        <is>
          <t>STOCKHOLMS LÄN</t>
        </is>
      </c>
      <c r="E19" t="inlineStr">
        <is>
          <t>UPPLANDS-BRO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Svartöra</t>
        </is>
      </c>
      <c r="S19">
        <f>HYPERLINK("https://klasma.github.io/Logging_0139/artfynd/A 26623-2026 artfynd.xlsx", "A 26623-2026")</f>
        <v/>
      </c>
      <c r="T19">
        <f>HYPERLINK("https://klasma.github.io/Logging_0139/kartor/A 26623-2026 karta.png", "A 26623-2026")</f>
        <v/>
      </c>
      <c r="V19">
        <f>HYPERLINK("https://klasma.github.io/Logging_0139/klagomål/A 26623-2026 FSC-klagomål.docx", "A 26623-2026")</f>
        <v/>
      </c>
      <c r="W19">
        <f>HYPERLINK("https://klasma.github.io/Logging_0139/klagomålsmail/A 26623-2026 FSC-klagomål mail.docx", "A 26623-2026")</f>
        <v/>
      </c>
      <c r="X19">
        <f>HYPERLINK("https://klasma.github.io/Logging_0139/tillsyn/A 26623-2026 tillsynsbegäran.docx", "A 26623-2026")</f>
        <v/>
      </c>
      <c r="Y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s="1" t="n">
        <v>46184</v>
      </c>
      <c r="C20" s="1" t="n">
        <v>46191</v>
      </c>
      <c r="D20" t="inlineStr">
        <is>
          <t>STOCKHOLMS LÄN</t>
        </is>
      </c>
      <c r="E20" t="inlineStr">
        <is>
          <t>UPPLANDS-BRO</t>
        </is>
      </c>
      <c r="G20" t="n">
        <v>5.4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HYPERLINK("https://klasma.github.io/Logging_0139/artfynd/A 26637-2026 artfynd.xlsx", "A 26637-2026")</f>
        <v/>
      </c>
      <c r="T20">
        <f>HYPERLINK("https://klasma.github.io/Logging_0139/kartor/A 26637-2026 karta.png", "A 26637-2026")</f>
        <v/>
      </c>
      <c r="V20">
        <f>HYPERLINK("https://klasma.github.io/Logging_0139/klagomål/A 26637-2026 FSC-klagomål.docx", "A 26637-2026")</f>
        <v/>
      </c>
      <c r="W20">
        <f>HYPERLINK("https://klasma.github.io/Logging_0139/klagomålsmail/A 26637-2026 FSC-klagomål mail.docx", "A 26637-2026")</f>
        <v/>
      </c>
      <c r="X20">
        <f>HYPERLINK("https://klasma.github.io/Logging_0139/tillsyn/A 26637-2026 tillsynsbegäran.docx", "A 26637-2026")</f>
        <v/>
      </c>
      <c r="Y20">
        <f>HYPERLINK("https://klasma.github.io/Logging_0139/tillsynsmail/A 26637-2026 tillsynsbegäran mail.docx", "A 26637-2026")</f>
        <v/>
      </c>
    </row>
    <row r="21" ht="15" customHeight="1">
      <c r="A21" t="inlineStr">
        <is>
          <t>A 2062-2025</t>
        </is>
      </c>
      <c r="B21" s="1" t="n">
        <v>45671</v>
      </c>
      <c r="C21" s="1" t="n">
        <v>46191</v>
      </c>
      <c r="D21" t="inlineStr">
        <is>
          <t>STOCKHOLMS LÄN</t>
        </is>
      </c>
      <c r="E21" t="inlineStr">
        <is>
          <t>UPPLANDS-BRO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HYPERLINK("https://klasma.github.io/Logging_0139/artfynd/A 2062-2025 artfynd.xlsx", "A 2062-2025")</f>
        <v/>
      </c>
      <c r="T21">
        <f>HYPERLINK("https://klasma.github.io/Logging_0139/kartor/A 2062-2025 karta.png", "A 2062-2025")</f>
        <v/>
      </c>
      <c r="V21">
        <f>HYPERLINK("https://klasma.github.io/Logging_0139/klagomål/A 2062-2025 FSC-klagomål.docx", "A 2062-2025")</f>
        <v/>
      </c>
      <c r="W21">
        <f>HYPERLINK("https://klasma.github.io/Logging_0139/klagomålsmail/A 2062-2025 FSC-klagomål mail.docx", "A 2062-2025")</f>
        <v/>
      </c>
      <c r="X21">
        <f>HYPERLINK("https://klasma.github.io/Logging_0139/tillsyn/A 2062-2025 tillsynsbegäran.docx", "A 2062-2025")</f>
        <v/>
      </c>
      <c r="Y21">
        <f>HYPERLINK("https://klasma.github.io/Logging_0139/tillsynsmail/A 2062-2025 tillsynsbegäran mail.docx", "A 2062-2025")</f>
        <v/>
      </c>
      <c r="Z21">
        <f>HYPERLINK("https://klasma.github.io/Logging_0139/fåglar/A 2062-2025 prioriterade fågelarter.docx", "A 2062-2025")</f>
        <v/>
      </c>
    </row>
    <row r="22" ht="15" customHeight="1">
      <c r="A22" t="inlineStr">
        <is>
          <t>A 25561-2025</t>
        </is>
      </c>
      <c r="B22" s="1" t="n">
        <v>45803</v>
      </c>
      <c r="C22" s="1" t="n">
        <v>46191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HYPERLINK("https://klasma.github.io/Logging_0139/artfynd/A 25561-2025 artfynd.xlsx", "A 25561-2025")</f>
        <v/>
      </c>
      <c r="T22">
        <f>HYPERLINK("https://klasma.github.io/Logging_0139/kartor/A 25561-2025 karta.png", "A 25561-2025")</f>
        <v/>
      </c>
      <c r="V22">
        <f>HYPERLINK("https://klasma.github.io/Logging_0139/klagomål/A 25561-2025 FSC-klagomål.docx", "A 25561-2025")</f>
        <v/>
      </c>
      <c r="W22">
        <f>HYPERLINK("https://klasma.github.io/Logging_0139/klagomålsmail/A 25561-2025 FSC-klagomål mail.docx", "A 25561-2025")</f>
        <v/>
      </c>
      <c r="X22">
        <f>HYPERLINK("https://klasma.github.io/Logging_0139/tillsyn/A 25561-2025 tillsynsbegäran.docx", "A 25561-2025")</f>
        <v/>
      </c>
      <c r="Y22">
        <f>HYPERLINK("https://klasma.github.io/Logging_0139/tillsynsmail/A 25561-2025 tillsynsbegäran mail.docx", "A 25561-2025")</f>
        <v/>
      </c>
    </row>
    <row r="23" ht="15" customHeight="1">
      <c r="A23" t="inlineStr">
        <is>
          <t>A 23099-2024</t>
        </is>
      </c>
      <c r="B23" s="1" t="n">
        <v>45450</v>
      </c>
      <c r="C23" s="1" t="n">
        <v>46191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0.7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Bredbrämad bastardsvärmare</t>
        </is>
      </c>
      <c r="S23">
        <f>HYPERLINK("https://klasma.github.io/Logging_0139/artfynd/A 23099-2024 artfynd.xlsx", "A 23099-2024")</f>
        <v/>
      </c>
      <c r="T23">
        <f>HYPERLINK("https://klasma.github.io/Logging_0139/kartor/A 23099-2024 karta.png", "A 23099-2024")</f>
        <v/>
      </c>
      <c r="V23">
        <f>HYPERLINK("https://klasma.github.io/Logging_0139/klagomål/A 23099-2024 FSC-klagomål.docx", "A 23099-2024")</f>
        <v/>
      </c>
      <c r="W23">
        <f>HYPERLINK("https://klasma.github.io/Logging_0139/klagomålsmail/A 23099-2024 FSC-klagomål mail.docx", "A 23099-2024")</f>
        <v/>
      </c>
      <c r="X23">
        <f>HYPERLINK("https://klasma.github.io/Logging_0139/tillsyn/A 23099-2024 tillsynsbegäran.docx", "A 23099-2024")</f>
        <v/>
      </c>
      <c r="Y23">
        <f>HYPERLINK("https://klasma.github.io/Logging_0139/tillsynsmail/A 23099-2024 tillsynsbegäran mail.docx", "A 23099-2024")</f>
        <v/>
      </c>
    </row>
    <row r="24" ht="15" customHeight="1">
      <c r="A24" t="inlineStr">
        <is>
          <t>A 64098-2023</t>
        </is>
      </c>
      <c r="B24" s="1" t="n">
        <v>45279</v>
      </c>
      <c r="C24" s="1" t="n">
        <v>46191</v>
      </c>
      <c r="D24" t="inlineStr">
        <is>
          <t>STOCKHOLMS LÄN</t>
        </is>
      </c>
      <c r="E24" t="inlineStr">
        <is>
          <t>UPPLANDS-BRO</t>
        </is>
      </c>
      <c r="G24" t="n">
        <v>0.3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Skogsalmsdvärgmal</t>
        </is>
      </c>
      <c r="S24">
        <f>HYPERLINK("https://klasma.github.io/Logging_0139/artfynd/A 64098-2023 artfynd.xlsx", "A 64098-2023")</f>
        <v/>
      </c>
      <c r="T24">
        <f>HYPERLINK("https://klasma.github.io/Logging_0139/kartor/A 64098-2023 karta.png", "A 64098-2023")</f>
        <v/>
      </c>
      <c r="V24">
        <f>HYPERLINK("https://klasma.github.io/Logging_0139/klagomål/A 64098-2023 FSC-klagomål.docx", "A 64098-2023")</f>
        <v/>
      </c>
      <c r="W24">
        <f>HYPERLINK("https://klasma.github.io/Logging_0139/klagomålsmail/A 64098-2023 FSC-klagomål mail.docx", "A 64098-2023")</f>
        <v/>
      </c>
      <c r="X24">
        <f>HYPERLINK("https://klasma.github.io/Logging_0139/tillsyn/A 64098-2023 tillsynsbegäran.docx", "A 64098-2023")</f>
        <v/>
      </c>
      <c r="Y24">
        <f>HYPERLINK("https://klasma.github.io/Logging_0139/tillsynsmail/A 64098-2023 tillsynsbegäran mail.docx", "A 64098-2023")</f>
        <v/>
      </c>
    </row>
    <row r="25" ht="15" customHeight="1">
      <c r="A25" t="inlineStr">
        <is>
          <t>A 37421-2021</t>
        </is>
      </c>
      <c r="B25" s="1" t="n">
        <v>44397</v>
      </c>
      <c r="C25" s="1" t="n">
        <v>46191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41465-2021</t>
        </is>
      </c>
      <c r="B26" s="1" t="n">
        <v>44424</v>
      </c>
      <c r="C26" s="1" t="n">
        <v>46191</v>
      </c>
      <c r="D26" t="inlineStr">
        <is>
          <t>STOCKHOLMS LÄN</t>
        </is>
      </c>
      <c r="E26" t="inlineStr">
        <is>
          <t>UPPLANDS-BRO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8261-2022</t>
        </is>
      </c>
      <c r="B27" s="1" t="n">
        <v>44609</v>
      </c>
      <c r="C27" s="1" t="n">
        <v>46191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58663-2021</t>
        </is>
      </c>
      <c r="B28" s="1" t="n">
        <v>44489</v>
      </c>
      <c r="C28" s="1" t="n">
        <v>46191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72523-2021</t>
        </is>
      </c>
      <c r="B29" s="1" t="n">
        <v>44546</v>
      </c>
      <c r="C29" s="1" t="n">
        <v>46191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20604-2022</t>
        </is>
      </c>
      <c r="B30" s="1" t="n">
        <v>44700</v>
      </c>
      <c r="C30" s="1" t="n">
        <v>46191</v>
      </c>
      <c r="D30" t="inlineStr">
        <is>
          <t>STOCKHOLMS LÄN</t>
        </is>
      </c>
      <c r="E30" t="inlineStr">
        <is>
          <t>UPPLANDS-BRO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46244-2021</t>
        </is>
      </c>
      <c r="B31" s="1" t="n">
        <v>44442</v>
      </c>
      <c r="C31" s="1" t="n">
        <v>46191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3838-2022</t>
        </is>
      </c>
      <c r="B32" s="1" t="n">
        <v>44587</v>
      </c>
      <c r="C32" s="1" t="n">
        <v>46191</v>
      </c>
      <c r="D32" t="inlineStr">
        <is>
          <t>STOCKHOLMS LÄN</t>
        </is>
      </c>
      <c r="E32" t="inlineStr">
        <is>
          <t>UPPLANDS-BRO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36111-2021</t>
        </is>
      </c>
      <c r="B33" s="1" t="n">
        <v>44389</v>
      </c>
      <c r="C33" s="1" t="n">
        <v>46191</v>
      </c>
      <c r="D33" t="inlineStr">
        <is>
          <t>STOCKHOLMS LÄN</t>
        </is>
      </c>
      <c r="E33" t="inlineStr">
        <is>
          <t>UPPLANDS-BRO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46191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46191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46191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27313-2023</t>
        </is>
      </c>
      <c r="B37" s="1" t="n">
        <v>45096</v>
      </c>
      <c r="C37" s="1" t="n">
        <v>46191</v>
      </c>
      <c r="D37" t="inlineStr">
        <is>
          <t>STOCKHOLMS LÄN</t>
        </is>
      </c>
      <c r="E37" t="inlineStr">
        <is>
          <t>UPPLANDS-BRO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59377-2024</t>
        </is>
      </c>
      <c r="B38" s="1" t="n">
        <v>45638</v>
      </c>
      <c r="C38" s="1" t="n">
        <v>46191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46191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9655-2026</t>
        </is>
      </c>
      <c r="B40" s="1" t="n">
        <v>46070</v>
      </c>
      <c r="C40" s="1" t="n">
        <v>46191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51587-2023</t>
        </is>
      </c>
      <c r="B41" s="1" t="n">
        <v>45215</v>
      </c>
      <c r="C41" s="1" t="n">
        <v>46191</v>
      </c>
      <c r="D41" t="inlineStr">
        <is>
          <t>STOCKHOLMS LÄN</t>
        </is>
      </c>
      <c r="E41" t="inlineStr">
        <is>
          <t>UPPLANDS-BRO</t>
        </is>
      </c>
      <c r="F41" t="inlineStr">
        <is>
          <t>Allmännings- och besparingsskogar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40514-2021</t>
        </is>
      </c>
      <c r="B42" s="1" t="n">
        <v>44420</v>
      </c>
      <c r="C42" s="1" t="n">
        <v>46191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59848-2022</t>
        </is>
      </c>
      <c r="B43" s="1" t="n">
        <v>44901</v>
      </c>
      <c r="C43" s="1" t="n">
        <v>46191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49622-2021</t>
        </is>
      </c>
      <c r="B44" s="1" t="n">
        <v>44455</v>
      </c>
      <c r="C44" s="1" t="n">
        <v>46191</v>
      </c>
      <c r="D44" t="inlineStr">
        <is>
          <t>STOCKHOLMS LÄN</t>
        </is>
      </c>
      <c r="E44" t="inlineStr">
        <is>
          <t>UPPLANDS-BRO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64110-2023</t>
        </is>
      </c>
      <c r="B45" s="1" t="n">
        <v>45279</v>
      </c>
      <c r="C45" s="1" t="n">
        <v>46191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59700-2021</t>
        </is>
      </c>
      <c r="B46" s="1" t="n">
        <v>44494</v>
      </c>
      <c r="C46" s="1" t="n">
        <v>46191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18787-2026</t>
        </is>
      </c>
      <c r="B47" s="1" t="n">
        <v>46128</v>
      </c>
      <c r="C47" s="1" t="n">
        <v>46191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24579-2026</t>
        </is>
      </c>
      <c r="B48" s="1" t="n">
        <v>46170</v>
      </c>
      <c r="C48" s="1" t="n">
        <v>46191</v>
      </c>
      <c r="D48" t="inlineStr">
        <is>
          <t>STOCKHOLMS LÄN</t>
        </is>
      </c>
      <c r="E48" t="inlineStr">
        <is>
          <t>UPPLANDS-BRO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7275-2022</t>
        </is>
      </c>
      <c r="B49" s="1" t="n">
        <v>44606</v>
      </c>
      <c r="C49" s="1" t="n">
        <v>46191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2602-2024</t>
        </is>
      </c>
      <c r="B50" s="1" t="n">
        <v>45313</v>
      </c>
      <c r="C50" s="1" t="n">
        <v>46191</v>
      </c>
      <c r="D50" t="inlineStr">
        <is>
          <t>STOCKHOLMS LÄN</t>
        </is>
      </c>
      <c r="E50" t="inlineStr">
        <is>
          <t>UPPLANDS-BRO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18813-2026</t>
        </is>
      </c>
      <c r="B51" s="1" t="n">
        <v>46128</v>
      </c>
      <c r="C51" s="1" t="n">
        <v>46191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56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18818-2026</t>
        </is>
      </c>
      <c r="B52" s="1" t="n">
        <v>46128</v>
      </c>
      <c r="C52" s="1" t="n">
        <v>46191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59402-2022</t>
        </is>
      </c>
      <c r="B53" s="1" t="n">
        <v>44906</v>
      </c>
      <c r="C53" s="1" t="n">
        <v>46191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18778-2026</t>
        </is>
      </c>
      <c r="B54" s="1" t="n">
        <v>46128</v>
      </c>
      <c r="C54" s="1" t="n">
        <v>46191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3596-2026</t>
        </is>
      </c>
      <c r="B55" s="1" t="n">
        <v>46042</v>
      </c>
      <c r="C55" s="1" t="n">
        <v>46191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46191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46191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2046-2026</t>
        </is>
      </c>
      <c r="B58" s="1" t="n">
        <v>46031</v>
      </c>
      <c r="C58" s="1" t="n">
        <v>46191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38902-2024</t>
        </is>
      </c>
      <c r="B59" s="1" t="n">
        <v>45547</v>
      </c>
      <c r="C59" s="1" t="n">
        <v>46191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46191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64105-2023</t>
        </is>
      </c>
      <c r="B61" s="1" t="n">
        <v>45279</v>
      </c>
      <c r="C61" s="1" t="n">
        <v>46191</v>
      </c>
      <c r="D61" t="inlineStr">
        <is>
          <t>STOCKHOLMS LÄN</t>
        </is>
      </c>
      <c r="E61" t="inlineStr">
        <is>
          <t>UPPLANDS-BRO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46191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64114-2023</t>
        </is>
      </c>
      <c r="B63" s="1" t="n">
        <v>45279</v>
      </c>
      <c r="C63" s="1" t="n">
        <v>46191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26196-2026</t>
        </is>
      </c>
      <c r="B64" s="1" t="n">
        <v>46182</v>
      </c>
      <c r="C64" s="1" t="n">
        <v>46191</v>
      </c>
      <c r="D64" t="inlineStr">
        <is>
          <t>STOCKHOLMS LÄN</t>
        </is>
      </c>
      <c r="E64" t="inlineStr">
        <is>
          <t>UPPLANDS-BRO</t>
        </is>
      </c>
      <c r="G64" t="n">
        <v>53.1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26625-2026</t>
        </is>
      </c>
      <c r="B65" s="1" t="n">
        <v>46184</v>
      </c>
      <c r="C65" s="1" t="n">
        <v>46191</v>
      </c>
      <c r="D65" t="inlineStr">
        <is>
          <t>STOCKHOLMS LÄN</t>
        </is>
      </c>
      <c r="E65" t="inlineStr">
        <is>
          <t>UPPLANDS-BRO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26633-2026</t>
        </is>
      </c>
      <c r="B66" s="1" t="n">
        <v>46184</v>
      </c>
      <c r="C66" s="1" t="n">
        <v>46191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26629-2026</t>
        </is>
      </c>
      <c r="B67" s="1" t="n">
        <v>46184</v>
      </c>
      <c r="C67" s="1" t="n">
        <v>46191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46191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46191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7112-2025</t>
        </is>
      </c>
      <c r="B70" s="1" t="n">
        <v>45701</v>
      </c>
      <c r="C70" s="1" t="n">
        <v>46191</v>
      </c>
      <c r="D70" t="inlineStr">
        <is>
          <t>STOCKHOLMS LÄN</t>
        </is>
      </c>
      <c r="E70" t="inlineStr">
        <is>
          <t>UPPLANDS-BRO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46191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</v>
      </c>
      <c r="C72" s="1" t="n">
        <v>46191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</v>
      </c>
      <c r="C73" s="1" t="n">
        <v>46191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31370-2021</t>
        </is>
      </c>
      <c r="B74" s="1" t="n">
        <v>44368</v>
      </c>
      <c r="C74" s="1" t="n">
        <v>46191</v>
      </c>
      <c r="D74" t="inlineStr">
        <is>
          <t>STOCKHOLMS LÄN</t>
        </is>
      </c>
      <c r="E74" t="inlineStr">
        <is>
          <t>UPPLANDS-BRO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23098-2024</t>
        </is>
      </c>
      <c r="B75" s="1" t="n">
        <v>45450</v>
      </c>
      <c r="C75" s="1" t="n">
        <v>46191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59844-2022</t>
        </is>
      </c>
      <c r="B76" s="1" t="n">
        <v>44901</v>
      </c>
      <c r="C76" s="1" t="n">
        <v>46191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54222-2023</t>
        </is>
      </c>
      <c r="B77" s="1" t="n">
        <v>45225</v>
      </c>
      <c r="C77" s="1" t="n">
        <v>46191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4338-2023</t>
        </is>
      </c>
      <c r="B78" s="1" t="n">
        <v>44953</v>
      </c>
      <c r="C78" s="1" t="n">
        <v>46191</v>
      </c>
      <c r="D78" t="inlineStr">
        <is>
          <t>STOCKHOLMS LÄN</t>
        </is>
      </c>
      <c r="E78" t="inlineStr">
        <is>
          <t>UPPLANDS-BRO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58011-2021</t>
        </is>
      </c>
      <c r="B79" s="1" t="n">
        <v>44487</v>
      </c>
      <c r="C79" s="1" t="n">
        <v>46191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72524-2021</t>
        </is>
      </c>
      <c r="B80" s="1" t="n">
        <v>44546</v>
      </c>
      <c r="C80" s="1" t="n">
        <v>46191</v>
      </c>
      <c r="D80" t="inlineStr">
        <is>
          <t>STOCKHOLMS LÄN</t>
        </is>
      </c>
      <c r="E80" t="inlineStr">
        <is>
          <t>UPPLANDS-BRO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46191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23093-2024</t>
        </is>
      </c>
      <c r="B82" s="1" t="n">
        <v>45450</v>
      </c>
      <c r="C82" s="1" t="n">
        <v>46191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2026-06-18T13:15:55Z</dcterms:created>
  <dcterms:modified xmlns:dcterms="http://purl.org/dc/terms/" xmlns:xsi="http://www.w3.org/2001/XMLSchema-instance" xsi:type="dcterms:W3CDTF">2026-06-18T13:15:55Z</dcterms:modified>
</cp:coreProperties>
</file>