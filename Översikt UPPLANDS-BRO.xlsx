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46177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46177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46177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46177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46177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46177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46177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46177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46177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46177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53357-2025</t>
        </is>
      </c>
      <c r="B18" s="1" t="n">
        <v>45959.46942129629</v>
      </c>
      <c r="C18" s="1" t="n">
        <v>46177</v>
      </c>
      <c r="D18" t="inlineStr">
        <is>
          <t>STOCKHOLMS LÄN</t>
        </is>
      </c>
      <c r="E18" t="inlineStr">
        <is>
          <t>UPPLANDS-BRO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53357-2025 artfynd.xlsx", "A 53357-2025")</f>
        <v/>
      </c>
      <c r="T18">
        <f>HYPERLINK("https://klasma.github.io/Logging_0139/kartor/A 53357-2025 karta.png", "A 53357-2025")</f>
        <v/>
      </c>
      <c r="V18">
        <f>HYPERLINK("https://klasma.github.io/Logging_0139/klagomål/A 53357-2025 FSC-klagomål.docx", "A 53357-2025")</f>
        <v/>
      </c>
      <c r="W18">
        <f>HYPERLINK("https://klasma.github.io/Logging_0139/klagomålsmail/A 53357-2025 FSC-klagomål mail.docx", "A 53357-2025")</f>
        <v/>
      </c>
      <c r="X18">
        <f>HYPERLINK("https://klasma.github.io/Logging_0139/tillsyn/A 53357-2025 tillsynsbegäran.docx", "A 53357-2025")</f>
        <v/>
      </c>
      <c r="Y18">
        <f>HYPERLINK("https://klasma.github.io/Logging_0139/tillsynsmail/A 53357-2025 tillsynsbegäran mail.docx", "A 53357-2025")</f>
        <v/>
      </c>
    </row>
    <row r="19" ht="15" customHeight="1">
      <c r="A19" t="inlineStr">
        <is>
          <t>A 2409-2026</t>
        </is>
      </c>
      <c r="B19" s="1" t="n">
        <v>46034</v>
      </c>
      <c r="C19" s="1" t="n">
        <v>46177</v>
      </c>
      <c r="D19" t="inlineStr">
        <is>
          <t>STOCKHOLMS LÄN</t>
        </is>
      </c>
      <c r="E19" t="inlineStr">
        <is>
          <t>UPPLANDS-BRO</t>
        </is>
      </c>
      <c r="G19" t="n">
        <v>14.2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HYPERLINK("https://klasma.github.io/Logging_0139/artfynd/A 2409-2026 artfynd.xlsx", "A 2409-2026")</f>
        <v/>
      </c>
      <c r="T19">
        <f>HYPERLINK("https://klasma.github.io/Logging_0139/kartor/A 2409-2026 karta.png", "A 2409-2026")</f>
        <v/>
      </c>
      <c r="V19">
        <f>HYPERLINK("https://klasma.github.io/Logging_0139/klagomål/A 2409-2026 FSC-klagomål.docx", "A 2409-2026")</f>
        <v/>
      </c>
      <c r="W19">
        <f>HYPERLINK("https://klasma.github.io/Logging_0139/klagomålsmail/A 2409-2026 FSC-klagomål mail.docx", "A 2409-2026")</f>
        <v/>
      </c>
      <c r="X19">
        <f>HYPERLINK("https://klasma.github.io/Logging_0139/tillsyn/A 2409-2026 tillsynsbegäran.docx", "A 2409-2026")</f>
        <v/>
      </c>
      <c r="Y19">
        <f>HYPERLINK("https://klasma.github.io/Logging_0139/tillsynsmail/A 2409-2026 tillsynsbegäran mail.docx", "A 2409-2026")</f>
        <v/>
      </c>
      <c r="Z19">
        <f>HYPERLINK("https://klasma.github.io/Logging_0139/fåglar/A 2409-2026 prioriterade fågelarter.docx", "A 2409-2026")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46177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46177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46177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46177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46177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46177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46177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46177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27313-2023</t>
        </is>
      </c>
      <c r="B32" s="1" t="n">
        <v>45096</v>
      </c>
      <c r="C32" s="1" t="n">
        <v>46177</v>
      </c>
      <c r="D32" t="inlineStr">
        <is>
          <t>STOCKHOLMS LÄN</t>
        </is>
      </c>
      <c r="E32" t="inlineStr">
        <is>
          <t>UPPLANDS-BRO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46177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46177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59377-2024</t>
        </is>
      </c>
      <c r="B35" s="1" t="n">
        <v>45638.35164351852</v>
      </c>
      <c r="C35" s="1" t="n">
        <v>46177</v>
      </c>
      <c r="D35" t="inlineStr">
        <is>
          <t>STOCKHOLMS LÄN</t>
        </is>
      </c>
      <c r="E35" t="inlineStr">
        <is>
          <t>UPPLANDS-BRO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7112-2025</t>
        </is>
      </c>
      <c r="B36" s="1" t="n">
        <v>45701</v>
      </c>
      <c r="C36" s="1" t="n">
        <v>46177</v>
      </c>
      <c r="D36" t="inlineStr">
        <is>
          <t>STOCKHOLMS LÄN</t>
        </is>
      </c>
      <c r="E36" t="inlineStr">
        <is>
          <t>UPPLANDS-BRO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46177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46177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46177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46177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46177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46177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46177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46177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5264-2023</t>
        </is>
      </c>
      <c r="B45" s="1" t="n">
        <v>44959</v>
      </c>
      <c r="C45" s="1" t="n">
        <v>46177</v>
      </c>
      <c r="D45" t="inlineStr">
        <is>
          <t>STOCKHOLMS LÄN</t>
        </is>
      </c>
      <c r="E45" t="inlineStr">
        <is>
          <t>UPPLANDS-BRO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46177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46177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46177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46177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46177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59848-2022</t>
        </is>
      </c>
      <c r="B51" s="1" t="n">
        <v>44901</v>
      </c>
      <c r="C51" s="1" t="n">
        <v>46177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46177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46177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46177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31370-2021</t>
        </is>
      </c>
      <c r="B55" s="1" t="n">
        <v>44368</v>
      </c>
      <c r="C55" s="1" t="n">
        <v>46177</v>
      </c>
      <c r="D55" t="inlineStr">
        <is>
          <t>STOCKHOLMS LÄN</t>
        </is>
      </c>
      <c r="E55" t="inlineStr">
        <is>
          <t>UPPLANDS-BRO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46177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59844-2022</t>
        </is>
      </c>
      <c r="B57" s="1" t="n">
        <v>44901</v>
      </c>
      <c r="C57" s="1" t="n">
        <v>46177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7275-2022</t>
        </is>
      </c>
      <c r="B58" s="1" t="n">
        <v>44606</v>
      </c>
      <c r="C58" s="1" t="n">
        <v>46177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2602-2024</t>
        </is>
      </c>
      <c r="B59" s="1" t="n">
        <v>45313.73068287037</v>
      </c>
      <c r="C59" s="1" t="n">
        <v>46177</v>
      </c>
      <c r="D59" t="inlineStr">
        <is>
          <t>STOCKHOLMS LÄN</t>
        </is>
      </c>
      <c r="E59" t="inlineStr">
        <is>
          <t>UPPLANDS-BRO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54222-2023</t>
        </is>
      </c>
      <c r="B60" s="1" t="n">
        <v>45225</v>
      </c>
      <c r="C60" s="1" t="n">
        <v>46177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59402-2022</t>
        </is>
      </c>
      <c r="B61" s="1" t="n">
        <v>44906</v>
      </c>
      <c r="C61" s="1" t="n">
        <v>46177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3630-2023</t>
        </is>
      </c>
      <c r="B62" s="1" t="n">
        <v>44950</v>
      </c>
      <c r="C62" s="1" t="n">
        <v>46177</v>
      </c>
      <c r="D62" t="inlineStr">
        <is>
          <t>STOCKHOLMS LÄN</t>
        </is>
      </c>
      <c r="E62" t="inlineStr">
        <is>
          <t>UPPLANDS-BRO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7860-2024</t>
        </is>
      </c>
      <c r="B63" s="1" t="n">
        <v>45348</v>
      </c>
      <c r="C63" s="1" t="n">
        <v>46177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46177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46177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72524-2021</t>
        </is>
      </c>
      <c r="B66" s="1" t="n">
        <v>44546</v>
      </c>
      <c r="C66" s="1" t="n">
        <v>46177</v>
      </c>
      <c r="D66" t="inlineStr">
        <is>
          <t>STOCKHOLMS LÄN</t>
        </is>
      </c>
      <c r="E66" t="inlineStr">
        <is>
          <t>UPPLANDS-BRO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64107-2023</t>
        </is>
      </c>
      <c r="B67" s="1" t="n">
        <v>45279</v>
      </c>
      <c r="C67" s="1" t="n">
        <v>46177</v>
      </c>
      <c r="D67" t="inlineStr">
        <is>
          <t>STOCKHOLMS LÄN</t>
        </is>
      </c>
      <c r="E67" t="inlineStr">
        <is>
          <t>UPPLANDS-BRO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23093-2024</t>
        </is>
      </c>
      <c r="B68" s="1" t="n">
        <v>45450</v>
      </c>
      <c r="C68" s="1" t="n">
        <v>46177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64105-2023</t>
        </is>
      </c>
      <c r="B69" s="1" t="n">
        <v>45279</v>
      </c>
      <c r="C69" s="1" t="n">
        <v>46177</v>
      </c>
      <c r="D69" t="inlineStr">
        <is>
          <t>STOCKHOLMS LÄN</t>
        </is>
      </c>
      <c r="E69" t="inlineStr">
        <is>
          <t>UPPLANDS-BRO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64114-2023</t>
        </is>
      </c>
      <c r="B70" s="1" t="n">
        <v>45279</v>
      </c>
      <c r="C70" s="1" t="n">
        <v>46177</v>
      </c>
      <c r="D70" t="inlineStr">
        <is>
          <t>STOCKHOLMS LÄN</t>
        </is>
      </c>
      <c r="E70" t="inlineStr">
        <is>
          <t>UPPLANDS-BRO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58598-2025</t>
        </is>
      </c>
      <c r="B71" s="1" t="n">
        <v>45986</v>
      </c>
      <c r="C71" s="1" t="n">
        <v>46177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12378-2025</t>
        </is>
      </c>
      <c r="B72" s="1" t="n">
        <v>45730.38032407407</v>
      </c>
      <c r="C72" s="1" t="n">
        <v>46177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46177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10935-2025</t>
        </is>
      </c>
      <c r="B74" s="1" t="n">
        <v>45722</v>
      </c>
      <c r="C74" s="1" t="n">
        <v>46177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2046-2026</t>
        </is>
      </c>
      <c r="B75" s="1" t="n">
        <v>46031</v>
      </c>
      <c r="C75" s="1" t="n">
        <v>46177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3754-2026</t>
        </is>
      </c>
      <c r="B76" s="1" t="n">
        <v>46043</v>
      </c>
      <c r="C76" s="1" t="n">
        <v>46177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9655-2026</t>
        </is>
      </c>
      <c r="B77" s="1" t="n">
        <v>46070</v>
      </c>
      <c r="C77" s="1" t="n">
        <v>46177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9265-2026</t>
        </is>
      </c>
      <c r="B78" s="1" t="n">
        <v>46069</v>
      </c>
      <c r="C78" s="1" t="n">
        <v>46177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18787-2026</t>
        </is>
      </c>
      <c r="B79" s="1" t="n">
        <v>46128</v>
      </c>
      <c r="C79" s="1" t="n">
        <v>46177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24579-2026</t>
        </is>
      </c>
      <c r="B80" s="1" t="n">
        <v>46170.6503125</v>
      </c>
      <c r="C80" s="1" t="n">
        <v>46177</v>
      </c>
      <c r="D80" t="inlineStr">
        <is>
          <t>STOCKHOLMS LÄN</t>
        </is>
      </c>
      <c r="E80" t="inlineStr">
        <is>
          <t>UPPLANDS-BRO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21206-2026</t>
        </is>
      </c>
      <c r="B81" s="1" t="n">
        <v>46146</v>
      </c>
      <c r="C81" s="1" t="n">
        <v>46177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21208-2026</t>
        </is>
      </c>
      <c r="B82" s="1" t="n">
        <v>46146</v>
      </c>
      <c r="C82" s="1" t="n">
        <v>46177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18813-2026</t>
        </is>
      </c>
      <c r="B83" s="1" t="n">
        <v>46128</v>
      </c>
      <c r="C83" s="1" t="n">
        <v>46177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56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18818-2026</t>
        </is>
      </c>
      <c r="B84" s="1" t="n">
        <v>46128</v>
      </c>
      <c r="C84" s="1" t="n">
        <v>46177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18778-2026</t>
        </is>
      </c>
      <c r="B85" s="1" t="n">
        <v>46128</v>
      </c>
      <c r="C85" s="1" t="n">
        <v>46177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3596-2026</t>
        </is>
      </c>
      <c r="B86" s="1" t="n">
        <v>46042</v>
      </c>
      <c r="C86" s="1" t="n">
        <v>46177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2026-06-04T11:04:55Z</dcterms:created>
  <dcterms:modified xmlns:dcterms="http://purl.org/dc/terms/" xmlns:xsi="http://www.w3.org/2001/XMLSchema-instance" xsi:type="dcterms:W3CDTF">2026-06-04T11:04:55Z</dcterms:modified>
</cp:coreProperties>
</file>