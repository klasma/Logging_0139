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46252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46252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46252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46252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46252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46252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46252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46252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46252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46252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Nästrot</t>
        </is>
      </c>
      <c r="W11">
        <f>HYPERLINK("https://klasma.github.io/Logging_0139/artfynd/A 12363-2025 artfynd.xlsx", "A 12363-2025")</f>
        <v/>
      </c>
      <c r="X11">
        <f>HYPERLINK("https://klasma.github.io/Logging_0139/kartor/A 12363-2025 karta.png", "A 12363-2025")</f>
        <v/>
      </c>
      <c r="Y11">
        <f>HYPERLINK("https://klasma.github.io/Logging_0139/kartor_geotiff/A 12363-2025 georefererad karta.tif", "A 12363-2025")</f>
        <v/>
      </c>
      <c r="AA11">
        <f>HYPERLINK("https://klasma.github.io/Logging_0139/klagomål/A 12363-2025 FSC-klagomål.docx", "A 12363-2025")</f>
        <v/>
      </c>
      <c r="AB11">
        <f>HYPERLINK("https://klasma.github.io/Logging_0139/klagomålsmail/A 12363-2025 FSC-klagomål mail.docx", "A 12363-2025")</f>
        <v/>
      </c>
      <c r="AC11">
        <f>HYPERLINK("https://klasma.github.io/Logging_0139/tillsyn/A 12363-2025 tillsynsbegäran.docx", "A 12363-2025")</f>
        <v/>
      </c>
      <c r="AD11">
        <f>HYPERLINK("https://klasma.github.io/Logging_0139/tillsynsmail/A 12363-2025 tillsynsbegäran mail.docx", "A 12363-2025")</f>
        <v/>
      </c>
    </row>
    <row r="12" ht="15" customHeight="1">
      <c r="A12" t="inlineStr">
        <is>
          <t>A 23099-2024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45450</v>
      </c>
      <c r="E12" s="1" t="n">
        <v>46252</v>
      </c>
      <c r="F12" t="inlineStr">
        <is>
          <t>STOCKHOLMS LÄN</t>
        </is>
      </c>
      <c r="G12" t="inlineStr">
        <is>
          <t>UPPLANDS-BRO</t>
        </is>
      </c>
      <c r="H12" t="inlineStr">
        <is>
          <t>Övriga statliga verk och myndigheter</t>
        </is>
      </c>
      <c r="I12" t="n">
        <v>0.7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Bredbrämad bastardsvärmare</t>
        </is>
      </c>
      <c r="W12">
        <f>HYPERLINK("https://klasma.github.io/Logging_0139/artfynd/A 23099-2024 artfynd.xlsx", "A 23099-2024")</f>
        <v/>
      </c>
      <c r="X12">
        <f>HYPERLINK("https://klasma.github.io/Logging_0139/kartor/A 23099-2024 karta.png", "A 23099-2024")</f>
        <v/>
      </c>
      <c r="Y12">
        <f>HYPERLINK("https://klasma.github.io/Logging_0139/kartor_geotiff/A 23099-2024 georefererad karta.tif", "A 23099-2024")</f>
        <v/>
      </c>
      <c r="AA12">
        <f>HYPERLINK("https://klasma.github.io/Logging_0139/klagomål/A 23099-2024 FSC-klagomål.docx", "A 23099-2024")</f>
        <v/>
      </c>
      <c r="AB12">
        <f>HYPERLINK("https://klasma.github.io/Logging_0139/klagomålsmail/A 23099-2024 FSC-klagomål mail.docx", "A 23099-2024")</f>
        <v/>
      </c>
      <c r="AC12">
        <f>HYPERLINK("https://klasma.github.io/Logging_0139/tillsyn/A 23099-2024 tillsynsbegäran.docx", "A 23099-2024")</f>
        <v/>
      </c>
      <c r="AD12">
        <f>HYPERLINK("https://klasma.github.io/Logging_0139/tillsynsmail/A 23099-2024 tillsynsbegäran mail.docx", "A 23099-2024")</f>
        <v/>
      </c>
    </row>
    <row r="13" ht="15" customHeight="1">
      <c r="A13" t="inlineStr">
        <is>
          <t>A 46438-2023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46252</v>
      </c>
      <c r="F13" t="inlineStr">
        <is>
          <t>STOCKHOLMS LÄN</t>
        </is>
      </c>
      <c r="G13" t="inlineStr">
        <is>
          <t>UPPLANDS-BRO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Bombmurkla</t>
        </is>
      </c>
      <c r="W13">
        <f>HYPERLINK("https://klasma.github.io/Logging_0139/artfynd/A 46438-2023 artfynd.xlsx", "A 46438-2023")</f>
        <v/>
      </c>
      <c r="X13">
        <f>HYPERLINK("https://klasma.github.io/Logging_0139/kartor/A 46438-2023 karta.png", "A 46438-2023")</f>
        <v/>
      </c>
      <c r="Y13">
        <f>HYPERLINK("https://klasma.github.io/Logging_0139/kartor_geotiff/A 46438-2023 georefererad karta.tif", "A 46438-2023")</f>
        <v/>
      </c>
      <c r="AA13">
        <f>HYPERLINK("https://klasma.github.io/Logging_0139/klagomål/A 46438-2023 FSC-klagomål.docx", "A 46438-2023")</f>
        <v/>
      </c>
      <c r="AB13">
        <f>HYPERLINK("https://klasma.github.io/Logging_0139/klagomålsmail/A 46438-2023 FSC-klagomål mail.docx", "A 46438-2023")</f>
        <v/>
      </c>
      <c r="AC13">
        <f>HYPERLINK("https://klasma.github.io/Logging_0139/tillsyn/A 46438-2023 tillsynsbegäran.docx", "A 46438-2023")</f>
        <v/>
      </c>
      <c r="AD13">
        <f>HYPERLINK("https://klasma.github.io/Logging_0139/tillsynsmail/A 46438-2023 tillsynsbegäran mail.docx", "A 46438-2023")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46252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Bombmurkla</t>
        </is>
      </c>
      <c r="W14">
        <f>HYPERLINK("https://klasma.github.io/Logging_0139/artfynd/A 53357-2025 artfynd.xlsx", "A 53357-2025")</f>
        <v/>
      </c>
      <c r="X14">
        <f>HYPERLINK("https://klasma.github.io/Logging_0139/kartor/A 53357-2025 karta.png", "A 53357-2025")</f>
        <v/>
      </c>
      <c r="Y14">
        <f>HYPERLINK("https://klasma.github.io/Logging_0139/kartor_geotiff/A 53357-2025 georefererad karta.tif", "A 53357-2025")</f>
        <v/>
      </c>
      <c r="AA14">
        <f>HYPERLINK("https://klasma.github.io/Logging_0139/klagomål/A 53357-2025 FSC-klagomål.docx", "A 53357-2025")</f>
        <v/>
      </c>
      <c r="AB14">
        <f>HYPERLINK("https://klasma.github.io/Logging_0139/klagomålsmail/A 53357-2025 FSC-klagomål mail.docx", "A 53357-2025")</f>
        <v/>
      </c>
      <c r="AC14">
        <f>HYPERLINK("https://klasma.github.io/Logging_0139/tillsyn/A 53357-2025 tillsynsbegäran.docx", "A 53357-2025")</f>
        <v/>
      </c>
      <c r="AD14">
        <f>HYPERLINK("https://klasma.github.io/Logging_0139/tillsynsmail/A 53357-2025 tillsynsbegäran mail.docx", "A 53357-2025")</f>
        <v/>
      </c>
    </row>
    <row r="15" ht="15" customHeight="1">
      <c r="A15" t="inlineStr">
        <is>
          <t>A 11447-2025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45726</v>
      </c>
      <c r="E15" s="1" t="n">
        <v>46252</v>
      </c>
      <c r="F15" t="inlineStr">
        <is>
          <t>STOCKHOLMS LÄN</t>
        </is>
      </c>
      <c r="G15" t="inlineStr">
        <is>
          <t>UPPLANDS-BRO</t>
        </is>
      </c>
      <c r="I15" t="n">
        <v>1.5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Myskbock</t>
        </is>
      </c>
      <c r="W15">
        <f>HYPERLINK("https://klasma.github.io/Logging_0139/artfynd/A 11447-2025 artfynd.xlsx", "A 11447-2025")</f>
        <v/>
      </c>
      <c r="X15">
        <f>HYPERLINK("https://klasma.github.io/Logging_0139/kartor/A 11447-2025 karta.png", "A 11447-2025")</f>
        <v/>
      </c>
      <c r="Y15">
        <f>HYPERLINK("https://klasma.github.io/Logging_0139/kartor_geotiff/A 11447-2025 georefererad karta.tif", "A 11447-2025")</f>
        <v/>
      </c>
      <c r="AA15">
        <f>HYPERLINK("https://klasma.github.io/Logging_0139/klagomål/A 11447-2025 FSC-klagomål.docx", "A 11447-2025")</f>
        <v/>
      </c>
      <c r="AB15">
        <f>HYPERLINK("https://klasma.github.io/Logging_0139/klagomålsmail/A 11447-2025 FSC-klagomål mail.docx", "A 11447-2025")</f>
        <v/>
      </c>
      <c r="AC15">
        <f>HYPERLINK("https://klasma.github.io/Logging_0139/tillsyn/A 11447-2025 tillsynsbegäran.docx", "A 11447-2025")</f>
        <v/>
      </c>
      <c r="AD15">
        <f>HYPERLINK("https://klasma.github.io/Logging_0139/tillsynsmail/A 11447-2025 tillsynsbegäran mail.docx", "A 11447-2025")</f>
        <v/>
      </c>
    </row>
    <row r="16" ht="15" customHeight="1">
      <c r="A16" t="inlineStr">
        <is>
          <t>A 73773-2021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44552</v>
      </c>
      <c r="E16" s="1" t="n">
        <v>46252</v>
      </c>
      <c r="F16" t="inlineStr">
        <is>
          <t>STOCKHOLMS LÄN</t>
        </is>
      </c>
      <c r="G16" t="inlineStr">
        <is>
          <t>UPPLANDS-BRO</t>
        </is>
      </c>
      <c r="I16" t="n">
        <v>1.9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Kopparödla</t>
        </is>
      </c>
      <c r="W16">
        <f>HYPERLINK("https://klasma.github.io/Logging_0139/artfynd/A 73773-2021 artfynd.xlsx", "A 73773-2021")</f>
        <v/>
      </c>
      <c r="X16">
        <f>HYPERLINK("https://klasma.github.io/Logging_0139/kartor/A 73773-2021 karta.png", "A 73773-2021")</f>
        <v/>
      </c>
      <c r="Y16">
        <f>HYPERLINK("https://klasma.github.io/Logging_0139/kartor_geotiff/A 73773-2021 georefererad karta.tif", "A 73773-2021")</f>
        <v/>
      </c>
      <c r="AA16">
        <f>HYPERLINK("https://klasma.github.io/Logging_0139/klagomål/A 73773-2021 FSC-klagomål.docx", "A 73773-2021")</f>
        <v/>
      </c>
      <c r="AB16">
        <f>HYPERLINK("https://klasma.github.io/Logging_0139/klagomålsmail/A 73773-2021 FSC-klagomål mail.docx", "A 73773-2021")</f>
        <v/>
      </c>
      <c r="AC16">
        <f>HYPERLINK("https://klasma.github.io/Logging_0139/tillsyn/A 73773-2021 tillsynsbegäran.docx", "A 73773-2021")</f>
        <v/>
      </c>
      <c r="AD16">
        <f>HYPERLINK("https://klasma.github.io/Logging_0139/tillsynsmail/A 73773-2021 tillsynsbegäran mail.docx", "A 73773-2021")</f>
        <v/>
      </c>
    </row>
    <row r="17" ht="15" customHeight="1">
      <c r="A17" t="inlineStr">
        <is>
          <t>A 7955-2023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46252</v>
      </c>
      <c r="F17" t="inlineStr">
        <is>
          <t>STOCKHOLMS LÄN</t>
        </is>
      </c>
      <c r="G17" t="inlineStr">
        <is>
          <t>UPPLANDS-BRO</t>
        </is>
      </c>
      <c r="I17" t="n">
        <v>2.9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Bombmurkla</t>
        </is>
      </c>
      <c r="W17">
        <f>HYPERLINK("https://klasma.github.io/Logging_0139/artfynd/A 7955-2023 artfynd.xlsx", "A 7955-2023")</f>
        <v/>
      </c>
      <c r="X17">
        <f>HYPERLINK("https://klasma.github.io/Logging_0139/kartor/A 7955-2023 karta.png", "A 7955-2023")</f>
        <v/>
      </c>
      <c r="Y17">
        <f>HYPERLINK("https://klasma.github.io/Logging_0139/kartor_geotiff/A 7955-2023 georefererad karta.tif", "A 7955-2023")</f>
        <v/>
      </c>
      <c r="AA17">
        <f>HYPERLINK("https://klasma.github.io/Logging_0139/klagomål/A 7955-2023 FSC-klagomål.docx", "A 7955-2023")</f>
        <v/>
      </c>
      <c r="AB17">
        <f>HYPERLINK("https://klasma.github.io/Logging_0139/klagomålsmail/A 7955-2023 FSC-klagomål mail.docx", "A 7955-2023")</f>
        <v/>
      </c>
      <c r="AC17">
        <f>HYPERLINK("https://klasma.github.io/Logging_0139/tillsyn/A 7955-2023 tillsynsbegäran.docx", "A 7955-2023")</f>
        <v/>
      </c>
      <c r="AD17">
        <f>HYPERLINK("https://klasma.github.io/Logging_0139/tillsynsmail/A 7955-2023 tillsynsbegäran mail.docx", "A 7955-2023")</f>
        <v/>
      </c>
    </row>
    <row r="18" ht="15" customHeight="1">
      <c r="A18" t="inlineStr">
        <is>
          <t>A 2409-2026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46252</v>
      </c>
      <c r="F18" t="inlineStr">
        <is>
          <t>STOCKHOLMS LÄN</t>
        </is>
      </c>
      <c r="G18" t="inlineStr">
        <is>
          <t>UPPLANDS-BRO</t>
        </is>
      </c>
      <c r="I18" t="n">
        <v>14.2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HYPERLINK("https://klasma.github.io/Logging_0139/artfynd/A 2409-2026 artfynd.xlsx", "A 2409-2026")</f>
        <v/>
      </c>
      <c r="X18">
        <f>HYPERLINK("https://klasma.github.io/Logging_0139/kartor/A 2409-2026 karta.png", "A 2409-2026")</f>
        <v/>
      </c>
      <c r="Y18">
        <f>HYPERLINK("https://klasma.github.io/Logging_0139/kartor_geotiff/A 2409-2026 georefererad karta.tif", "A 2409-2026")</f>
        <v/>
      </c>
      <c r="AA18">
        <f>HYPERLINK("https://klasma.github.io/Logging_0139/klagomål/A 2409-2026 FSC-klagomål.docx", "A 2409-2026")</f>
        <v/>
      </c>
      <c r="AB18">
        <f>HYPERLINK("https://klasma.github.io/Logging_0139/klagomålsmail/A 2409-2026 FSC-klagomål mail.docx", "A 2409-2026")</f>
        <v/>
      </c>
      <c r="AC18">
        <f>HYPERLINK("https://klasma.github.io/Logging_0139/tillsyn/A 2409-2026 tillsynsbegäran.docx", "A 2409-2026")</f>
        <v/>
      </c>
      <c r="AD18">
        <f>HYPERLINK("https://klasma.github.io/Logging_0139/tillsynsmail/A 2409-2026 tillsynsbegäran mail.docx", "A 2409-2026")</f>
        <v/>
      </c>
      <c r="AE18">
        <f>HYPERLINK("https://klasma.github.io/Logging_0139/fåglar/A 2409-2026 prioriterade fågelarter.docx", "A 2409-2026")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46252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46252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46252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46252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46252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46252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46252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46252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46252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46252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46252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46252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46252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46252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45313</v>
      </c>
      <c r="E33" s="1" t="n">
        <v>46252</v>
      </c>
      <c r="F33" t="inlineStr">
        <is>
          <t>STOCKHOLMS LÄN</t>
        </is>
      </c>
      <c r="G33" t="inlineStr">
        <is>
          <t>UPPLANDS-BRO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59844-2022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46252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64110-2023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45279</v>
      </c>
      <c r="E35" s="1" t="n">
        <v>46252</v>
      </c>
      <c r="F35" t="inlineStr">
        <is>
          <t>STOCKHOLMS LÄN</t>
        </is>
      </c>
      <c r="G35" t="inlineStr">
        <is>
          <t>UPPLANDS-BRO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45450</v>
      </c>
      <c r="E36" s="1" t="n">
        <v>46252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59377-2024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45638</v>
      </c>
      <c r="E37" s="1" t="n">
        <v>46252</v>
      </c>
      <c r="F37" t="inlineStr">
        <is>
          <t>STOCKHOLMS LÄN</t>
        </is>
      </c>
      <c r="G37" t="inlineStr">
        <is>
          <t>UPPLANDS-BRO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44906</v>
      </c>
      <c r="E38" s="1" t="n">
        <v>46252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44950</v>
      </c>
      <c r="E39" s="1" t="n">
        <v>46252</v>
      </c>
      <c r="F39" t="inlineStr">
        <is>
          <t>STOCKHOLMS LÄN</t>
        </is>
      </c>
      <c r="G39" t="inlineStr">
        <is>
          <t>UPPLANDS-BRO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46252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46252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7860-2024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46252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44959</v>
      </c>
      <c r="E43" s="1" t="n">
        <v>46252</v>
      </c>
      <c r="F43" t="inlineStr">
        <is>
          <t>STOCKHOLMS LÄN</t>
        </is>
      </c>
      <c r="G43" t="inlineStr">
        <is>
          <t>UPPLANDS-BRO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31160-2022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44770</v>
      </c>
      <c r="E44" s="1" t="n">
        <v>46252</v>
      </c>
      <c r="F44" t="inlineStr">
        <is>
          <t>STOCKHOLMS LÄN</t>
        </is>
      </c>
      <c r="G44" t="inlineStr">
        <is>
          <t>UPPLANDS-BRO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51587-2023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46252</v>
      </c>
      <c r="F45" t="inlineStr">
        <is>
          <t>STOCKHOLMS LÄN</t>
        </is>
      </c>
      <c r="G45" t="inlineStr">
        <is>
          <t>UPPLANDS-BRO</t>
        </is>
      </c>
      <c r="H45" t="inlineStr">
        <is>
          <t>Allmännings- och besparingsskogar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58598-2025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46252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46252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45279</v>
      </c>
      <c r="E48" s="1" t="n">
        <v>46252</v>
      </c>
      <c r="F48" t="inlineStr">
        <is>
          <t>STOCKHOLMS LÄN</t>
        </is>
      </c>
      <c r="G48" t="inlineStr">
        <is>
          <t>UPPLANDS-BRO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72524-2021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46252</v>
      </c>
      <c r="F49" t="inlineStr">
        <is>
          <t>STOCKHOLMS LÄN</t>
        </is>
      </c>
      <c r="G49" t="inlineStr">
        <is>
          <t>UPPLANDS-BRO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50294-2023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46252</v>
      </c>
      <c r="F50" t="inlineStr">
        <is>
          <t>STOCKHOLMS LÄN</t>
        </is>
      </c>
      <c r="G50" t="inlineStr">
        <is>
          <t>UPPLANDS-BRO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46252</v>
      </c>
      <c r="F51" t="inlineStr">
        <is>
          <t>STOCKHOLMS LÄN</t>
        </is>
      </c>
      <c r="G51" t="inlineStr">
        <is>
          <t>UPPLANDS-BRO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46252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58011-2021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46252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26196-2026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46182</v>
      </c>
      <c r="E54" s="1" t="n">
        <v>46252</v>
      </c>
      <c r="F54" t="inlineStr">
        <is>
          <t>STOCKHOLMS LÄN</t>
        </is>
      </c>
      <c r="G54" t="inlineStr">
        <is>
          <t>UPPLANDS-BRO</t>
        </is>
      </c>
      <c r="I54" t="n">
        <v>53.1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49622-2021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46252</v>
      </c>
      <c r="F55" t="inlineStr">
        <is>
          <t>STOCKHOLMS LÄN</t>
        </is>
      </c>
      <c r="G55" t="inlineStr">
        <is>
          <t>UPPLANDS-BRO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59700-2021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46252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46252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46252</v>
      </c>
      <c r="F58" t="inlineStr">
        <is>
          <t>STOCKHOLMS LÄN</t>
        </is>
      </c>
      <c r="G58" t="inlineStr">
        <is>
          <t>UPPLANDS-BRO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46226</v>
      </c>
      <c r="E59" s="1" t="n">
        <v>46252</v>
      </c>
      <c r="F59" t="inlineStr">
        <is>
          <t>STOCKHOLMS LÄN</t>
        </is>
      </c>
      <c r="G59" t="inlineStr">
        <is>
          <t>UPPLANDS-BRO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26629-2026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46252</v>
      </c>
      <c r="F60" t="inlineStr">
        <is>
          <t>STOCKHOLMS LÄN</t>
        </is>
      </c>
      <c r="G60" t="inlineStr">
        <is>
          <t>UPPLANDS-BRO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46252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46043</v>
      </c>
      <c r="E62" s="1" t="n">
        <v>46252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46252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18813-2026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46252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56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46252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17.8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46252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46252</v>
      </c>
      <c r="F67" t="inlineStr">
        <is>
          <t>STOCKHOLMS LÄN</t>
        </is>
      </c>
      <c r="G67" t="inlineStr">
        <is>
          <t>UPPLANDS-BRO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46252</v>
      </c>
      <c r="F68" t="inlineStr">
        <is>
          <t>STOCKHOLMS LÄN</t>
        </is>
      </c>
      <c r="G68" t="inlineStr">
        <is>
          <t>UPPLANDS-BRO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46252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46252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46252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46252</v>
      </c>
      <c r="F72" t="inlineStr">
        <is>
          <t>STOCKHOLMS LÄN</t>
        </is>
      </c>
      <c r="G72" t="inlineStr">
        <is>
          <t>UPPLANDS-BRO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46252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46252</v>
      </c>
      <c r="F74" t="inlineStr">
        <is>
          <t>STOCKHOLMS LÄN</t>
        </is>
      </c>
      <c r="G74" t="inlineStr">
        <is>
          <t>UPPLANDS-BRO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45547</v>
      </c>
      <c r="E75" s="1" t="n">
        <v>46252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46252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46252</v>
      </c>
      <c r="F77" t="inlineStr">
        <is>
          <t>STOCKHOLMS LÄN</t>
        </is>
      </c>
      <c r="G77" t="inlineStr">
        <is>
          <t>UPPLANDS-BRO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24579-2026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46170</v>
      </c>
      <c r="E78" s="1" t="n">
        <v>46252</v>
      </c>
      <c r="F78" t="inlineStr">
        <is>
          <t>STOCKHOLMS LÄN</t>
        </is>
      </c>
      <c r="G78" t="inlineStr">
        <is>
          <t>UPPLANDS-BRO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46252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2026-08-18T01:47:25Z</dcterms:created>
  <dcterms:modified xmlns:dcterms="http://purl.org/dc/terms/" xmlns:xsi="http://www.w3.org/2001/XMLSchema-instance" xsi:type="dcterms:W3CDTF">2026-08-18T01:47:25Z</dcterms:modified>
</cp:coreProperties>
</file>