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46190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46190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46190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46190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46190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46190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46190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64098-2023</t>
        </is>
      </c>
      <c r="B10" s="1" t="n">
        <v>45279</v>
      </c>
      <c r="C10" s="1" t="n">
        <v>46190</v>
      </c>
      <c r="D10" t="inlineStr">
        <is>
          <t>STOCKHOLMS LÄN</t>
        </is>
      </c>
      <c r="E10" t="inlineStr">
        <is>
          <t>UPPLANDS-BRO</t>
        </is>
      </c>
      <c r="G10" t="n">
        <v>0.3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Skogsalmsdvärgmal</t>
        </is>
      </c>
      <c r="S10">
        <f>HYPERLINK("https://klasma.github.io/Logging_0139/artfynd/A 64098-2023 artfynd.xlsx", "A 64098-2023")</f>
        <v/>
      </c>
      <c r="T10">
        <f>HYPERLINK("https://klasma.github.io/Logging_0139/kartor/A 64098-2023 karta.png", "A 64098-2023")</f>
        <v/>
      </c>
      <c r="V10">
        <f>HYPERLINK("https://klasma.github.io/Logging_0139/klagomål/A 64098-2023 FSC-klagomål.docx", "A 64098-2023")</f>
        <v/>
      </c>
      <c r="W10">
        <f>HYPERLINK("https://klasma.github.io/Logging_0139/klagomålsmail/A 64098-2023 FSC-klagomål mail.docx", "A 64098-2023")</f>
        <v/>
      </c>
      <c r="X10">
        <f>HYPERLINK("https://klasma.github.io/Logging_0139/tillsyn/A 64098-2023 tillsynsbegäran.docx", "A 64098-2023")</f>
        <v/>
      </c>
      <c r="Y10">
        <f>HYPERLINK("https://klasma.github.io/Logging_0139/tillsynsmail/A 64098-2023 tillsynsbegäran mail.docx", "A 64098-2023")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46190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46190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46190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46190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46190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46190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46190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26637-2026</t>
        </is>
      </c>
      <c r="B18" s="1" t="n">
        <v>46184.37130787037</v>
      </c>
      <c r="C18" s="1" t="n">
        <v>46190</v>
      </c>
      <c r="D18" t="inlineStr">
        <is>
          <t>STOCKHOLMS LÄN</t>
        </is>
      </c>
      <c r="E18" t="inlineStr">
        <is>
          <t>UPPLANDS-BRO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HYPERLINK("https://klasma.github.io/Logging_0139/artfynd/A 26637-2026 artfynd.xlsx", "A 26637-2026")</f>
        <v/>
      </c>
      <c r="T18">
        <f>HYPERLINK("https://klasma.github.io/Logging_0139/kartor/A 26637-2026 karta.png", "A 26637-2026")</f>
        <v/>
      </c>
      <c r="V18">
        <f>HYPERLINK("https://klasma.github.io/Logging_0139/klagomål/A 26637-2026 FSC-klagomål.docx", "A 26637-2026")</f>
        <v/>
      </c>
      <c r="W18">
        <f>HYPERLINK("https://klasma.github.io/Logging_0139/klagomålsmail/A 26637-2026 FSC-klagomål mail.docx", "A 26637-2026")</f>
        <v/>
      </c>
      <c r="X18">
        <f>HYPERLINK("https://klasma.github.io/Logging_0139/tillsyn/A 26637-2026 tillsynsbegäran.docx", "A 26637-2026")</f>
        <v/>
      </c>
      <c r="Y18">
        <f>HYPERLINK("https://klasma.github.io/Logging_0139/tillsynsmail/A 26637-2026 tillsynsbegäran mail.docx", "A 26637-2026")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46190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46190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46190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46190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46190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46190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46190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46190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46190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46190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46190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50294-2023</t>
        </is>
      </c>
      <c r="B30" s="1" t="n">
        <v>45216</v>
      </c>
      <c r="C30" s="1" t="n">
        <v>46190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46190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64107-2023</t>
        </is>
      </c>
      <c r="B32" s="1" t="n">
        <v>45279</v>
      </c>
      <c r="C32" s="1" t="n">
        <v>46190</v>
      </c>
      <c r="D32" t="inlineStr">
        <is>
          <t>STOCKHOLMS LÄN</t>
        </is>
      </c>
      <c r="E32" t="inlineStr">
        <is>
          <t>UPPLANDS-BRO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46190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46190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46190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7112-2025</t>
        </is>
      </c>
      <c r="B36" s="1" t="n">
        <v>45701</v>
      </c>
      <c r="C36" s="1" t="n">
        <v>46190</v>
      </c>
      <c r="D36" t="inlineStr">
        <is>
          <t>STOCKHOLMS LÄN</t>
        </is>
      </c>
      <c r="E36" t="inlineStr">
        <is>
          <t>UPPLANDS-BRO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58011-2021</t>
        </is>
      </c>
      <c r="B37" s="1" t="n">
        <v>44487</v>
      </c>
      <c r="C37" s="1" t="n">
        <v>46190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46190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2602-2024</t>
        </is>
      </c>
      <c r="B39" s="1" t="n">
        <v>45313.73068287037</v>
      </c>
      <c r="C39" s="1" t="n">
        <v>46190</v>
      </c>
      <c r="D39" t="inlineStr">
        <is>
          <t>STOCKHOLMS LÄN</t>
        </is>
      </c>
      <c r="E39" t="inlineStr">
        <is>
          <t>UPPLANDS-BRO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41463-2021</t>
        </is>
      </c>
      <c r="B40" s="1" t="n">
        <v>44424</v>
      </c>
      <c r="C40" s="1" t="n">
        <v>46190</v>
      </c>
      <c r="D40" t="inlineStr">
        <is>
          <t>STOCKHOLMS LÄN</t>
        </is>
      </c>
      <c r="E40" t="inlineStr">
        <is>
          <t>UPPLANDS-BRO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49622-2021</t>
        </is>
      </c>
      <c r="B41" s="1" t="n">
        <v>44455</v>
      </c>
      <c r="C41" s="1" t="n">
        <v>46190</v>
      </c>
      <c r="D41" t="inlineStr">
        <is>
          <t>STOCKHOLMS LÄN</t>
        </is>
      </c>
      <c r="E41" t="inlineStr">
        <is>
          <t>UPPLANDS-BRO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59844-2022</t>
        </is>
      </c>
      <c r="B42" s="1" t="n">
        <v>44901</v>
      </c>
      <c r="C42" s="1" t="n">
        <v>46190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2062-2025</t>
        </is>
      </c>
      <c r="B43" s="1" t="n">
        <v>45671</v>
      </c>
      <c r="C43" s="1" t="n">
        <v>46190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23615-2025</t>
        </is>
      </c>
      <c r="B44" s="1" t="n">
        <v>45792.66532407407</v>
      </c>
      <c r="C44" s="1" t="n">
        <v>46190</v>
      </c>
      <c r="D44" t="inlineStr">
        <is>
          <t>STOCKHOLMS LÄN</t>
        </is>
      </c>
      <c r="E44" t="inlineStr">
        <is>
          <t>UPPLANDS-BRO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23627-2025</t>
        </is>
      </c>
      <c r="B45" s="1" t="n">
        <v>45792.67523148148</v>
      </c>
      <c r="C45" s="1" t="n">
        <v>46190</v>
      </c>
      <c r="D45" t="inlineStr">
        <is>
          <t>STOCKHOLMS LÄN</t>
        </is>
      </c>
      <c r="E45" t="inlineStr">
        <is>
          <t>UPPLANDS-BRO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3630-2023</t>
        </is>
      </c>
      <c r="B46" s="1" t="n">
        <v>44950</v>
      </c>
      <c r="C46" s="1" t="n">
        <v>46190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23093-2024</t>
        </is>
      </c>
      <c r="B47" s="1" t="n">
        <v>45450</v>
      </c>
      <c r="C47" s="1" t="n">
        <v>46190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64110-2023</t>
        </is>
      </c>
      <c r="B48" s="1" t="n">
        <v>45279</v>
      </c>
      <c r="C48" s="1" t="n">
        <v>46190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46190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23098-2024</t>
        </is>
      </c>
      <c r="B50" s="1" t="n">
        <v>45450</v>
      </c>
      <c r="C50" s="1" t="n">
        <v>46190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59377-2024</t>
        </is>
      </c>
      <c r="B51" s="1" t="n">
        <v>45638.35164351852</v>
      </c>
      <c r="C51" s="1" t="n">
        <v>46190</v>
      </c>
      <c r="D51" t="inlineStr">
        <is>
          <t>STOCKHOLMS LÄN</t>
        </is>
      </c>
      <c r="E51" t="inlineStr">
        <is>
          <t>UPPLANDS-BRO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46438-2023</t>
        </is>
      </c>
      <c r="B52" s="1" t="n">
        <v>45197</v>
      </c>
      <c r="C52" s="1" t="n">
        <v>46190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46190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59402-2022</t>
        </is>
      </c>
      <c r="B54" s="1" t="n">
        <v>44906</v>
      </c>
      <c r="C54" s="1" t="n">
        <v>46190</v>
      </c>
      <c r="D54" t="inlineStr">
        <is>
          <t>STOCKHOLMS LÄN</t>
        </is>
      </c>
      <c r="E54" t="inlineStr">
        <is>
          <t>UPPLANDS-BRO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46190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64114-2023</t>
        </is>
      </c>
      <c r="B56" s="1" t="n">
        <v>45279</v>
      </c>
      <c r="C56" s="1" t="n">
        <v>46190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12363-2025</t>
        </is>
      </c>
      <c r="B57" s="1" t="n">
        <v>45730.37431712963</v>
      </c>
      <c r="C57" s="1" t="n">
        <v>46190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5264-2023</t>
        </is>
      </c>
      <c r="B58" s="1" t="n">
        <v>44959</v>
      </c>
      <c r="C58" s="1" t="n">
        <v>46190</v>
      </c>
      <c r="D58" t="inlineStr">
        <is>
          <t>STOCKHOLMS LÄN</t>
        </is>
      </c>
      <c r="E58" t="inlineStr">
        <is>
          <t>UPPLANDS-BRO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46190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46190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4338-2023</t>
        </is>
      </c>
      <c r="B61" s="1" t="n">
        <v>44953</v>
      </c>
      <c r="C61" s="1" t="n">
        <v>46190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2046-2026</t>
        </is>
      </c>
      <c r="B62" s="1" t="n">
        <v>46031</v>
      </c>
      <c r="C62" s="1" t="n">
        <v>46190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46190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3754-2026</t>
        </is>
      </c>
      <c r="B64" s="1" t="n">
        <v>46043</v>
      </c>
      <c r="C64" s="1" t="n">
        <v>46190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46190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46190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40514-2021</t>
        </is>
      </c>
      <c r="B67" s="1" t="n">
        <v>44420</v>
      </c>
      <c r="C67" s="1" t="n">
        <v>46190</v>
      </c>
      <c r="D67" t="inlineStr">
        <is>
          <t>STOCKHOLMS LÄN</t>
        </is>
      </c>
      <c r="E67" t="inlineStr">
        <is>
          <t>UPPLANDS-BRO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18778-2026</t>
        </is>
      </c>
      <c r="B68" s="1" t="n">
        <v>46128</v>
      </c>
      <c r="C68" s="1" t="n">
        <v>46190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46190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18813-2026</t>
        </is>
      </c>
      <c r="B70" s="1" t="n">
        <v>46128</v>
      </c>
      <c r="C70" s="1" t="n">
        <v>46190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18818-2026</t>
        </is>
      </c>
      <c r="B71" s="1" t="n">
        <v>46128</v>
      </c>
      <c r="C71" s="1" t="n">
        <v>46190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18787-2026</t>
        </is>
      </c>
      <c r="B72" s="1" t="n">
        <v>46128</v>
      </c>
      <c r="C72" s="1" t="n">
        <v>46190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24579-2026</t>
        </is>
      </c>
      <c r="B73" s="1" t="n">
        <v>46170.6503125</v>
      </c>
      <c r="C73" s="1" t="n">
        <v>46190</v>
      </c>
      <c r="D73" t="inlineStr">
        <is>
          <t>STOCKHOLMS LÄN</t>
        </is>
      </c>
      <c r="E73" t="inlineStr">
        <is>
          <t>UPPLANDS-BRO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3596-2026</t>
        </is>
      </c>
      <c r="B74" s="1" t="n">
        <v>46042</v>
      </c>
      <c r="C74" s="1" t="n">
        <v>46190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58598-2025</t>
        </is>
      </c>
      <c r="B75" s="1" t="n">
        <v>45986</v>
      </c>
      <c r="C75" s="1" t="n">
        <v>46190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26196-2026</t>
        </is>
      </c>
      <c r="B76" s="1" t="n">
        <v>46182</v>
      </c>
      <c r="C76" s="1" t="n">
        <v>46190</v>
      </c>
      <c r="D76" t="inlineStr">
        <is>
          <t>STOCKHOLMS LÄN</t>
        </is>
      </c>
      <c r="E76" t="inlineStr">
        <is>
          <t>UPPLANDS-BRO</t>
        </is>
      </c>
      <c r="G76" t="n">
        <v>53.1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26629-2026</t>
        </is>
      </c>
      <c r="B77" s="1" t="n">
        <v>46184.36501157407</v>
      </c>
      <c r="C77" s="1" t="n">
        <v>46190</v>
      </c>
      <c r="D77" t="inlineStr">
        <is>
          <t>STOCKHOLMS LÄN</t>
        </is>
      </c>
      <c r="E77" t="inlineStr">
        <is>
          <t>UPPLANDS-BRO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26623-2026</t>
        </is>
      </c>
      <c r="B78" s="1" t="n">
        <v>46184.35763888889</v>
      </c>
      <c r="C78" s="1" t="n">
        <v>46190</v>
      </c>
      <c r="D78" t="inlineStr">
        <is>
          <t>STOCKHOLMS LÄN</t>
        </is>
      </c>
      <c r="E78" t="inlineStr">
        <is>
          <t>UPPLANDS-BRO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26625-2026</t>
        </is>
      </c>
      <c r="B79" s="1" t="n">
        <v>46184.36178240741</v>
      </c>
      <c r="C79" s="1" t="n">
        <v>46190</v>
      </c>
      <c r="D79" t="inlineStr">
        <is>
          <t>STOCKHOLMS LÄN</t>
        </is>
      </c>
      <c r="E79" t="inlineStr">
        <is>
          <t>UPPLANDS-BRO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26633-2026</t>
        </is>
      </c>
      <c r="B80" s="1" t="n">
        <v>46184.36626157408</v>
      </c>
      <c r="C80" s="1" t="n">
        <v>46190</v>
      </c>
      <c r="D80" t="inlineStr">
        <is>
          <t>STOCKHOLMS LÄN</t>
        </is>
      </c>
      <c r="E80" t="inlineStr">
        <is>
          <t>UPPLANDS-BRO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21206-2026</t>
        </is>
      </c>
      <c r="B81" s="1" t="n">
        <v>46146</v>
      </c>
      <c r="C81" s="1" t="n">
        <v>46190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21208-2026</t>
        </is>
      </c>
      <c r="B82" s="1" t="n">
        <v>46146</v>
      </c>
      <c r="C82" s="1" t="n">
        <v>46190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2026-06-17T09:24:33Z</dcterms:created>
  <dcterms:modified xmlns:dcterms="http://purl.org/dc/terms/" xmlns:xsi="http://www.w3.org/2001/XMLSchema-instance" xsi:type="dcterms:W3CDTF">2026-06-17T09:24:33Z</dcterms:modified>
</cp:coreProperties>
</file>