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46275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46275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45450</v>
      </c>
      <c r="E11" s="1" t="n">
        <v>46275</v>
      </c>
      <c r="F11" t="inlineStr">
        <is>
          <t>STOCKHOLMS LÄN</t>
        </is>
      </c>
      <c r="G11" t="inlineStr">
        <is>
          <t>UPPLANDS-BRO</t>
        </is>
      </c>
      <c r="H11" t="inlineStr">
        <is>
          <t>Övriga statliga verk och myndigheter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Bredbrämad bastardsvärmare</t>
        </is>
      </c>
      <c r="W11">
        <f>HYPERLINK("https://klasma.github.io/Logging_0139/artfynd/A 23099-2024 artfynd.xlsx", "A 23099-2024")</f>
        <v/>
      </c>
      <c r="X11">
        <f>HYPERLINK("https://klasma.github.io/Logging_0139/kartor/A 23099-2024 karta.png", "A 23099-2024")</f>
        <v/>
      </c>
      <c r="Y11">
        <f>HYPERLINK("https://klasma.github.io/Logging_0139/kartor_geotiff/A 23099-2024 georefererad karta.tif", "A 23099-2024")</f>
        <v/>
      </c>
      <c r="AA11">
        <f>HYPERLINK("https://klasma.github.io/Logging_0139/klagomål/A 23099-2024 FSC-klagomål.docx", "A 23099-2024")</f>
        <v/>
      </c>
      <c r="AB11">
        <f>HYPERLINK("https://klasma.github.io/Logging_0139/klagomålsmail/A 23099-2024 FSC-klagomål mail.docx", "A 23099-2024")</f>
        <v/>
      </c>
      <c r="AC11">
        <f>HYPERLINK("https://klasma.github.io/Logging_0139/tillsyn/A 23099-2024 tillsynsbegäran.docx", "A 23099-2024")</f>
        <v/>
      </c>
      <c r="AD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46275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46438-2023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46275</v>
      </c>
      <c r="F13" t="inlineStr">
        <is>
          <t>STOCKHOLMS LÄN</t>
        </is>
      </c>
      <c r="G13" t="inlineStr">
        <is>
          <t>UPPLANDS-BRO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46438-2023 artfynd.xlsx", "A 46438-2023")</f>
        <v/>
      </c>
      <c r="X13">
        <f>HYPERLINK("https://klasma.github.io/Logging_0139/kartor/A 46438-2023 karta.png", "A 46438-2023")</f>
        <v/>
      </c>
      <c r="Y13">
        <f>HYPERLINK("https://klasma.github.io/Logging_0139/kartor_geotiff/A 46438-2023 georefererad karta.tif", "A 46438-2023")</f>
        <v/>
      </c>
      <c r="AA13">
        <f>HYPERLINK("https://klasma.github.io/Logging_0139/klagomål/A 46438-2023 FSC-klagomål.docx", "A 46438-2023")</f>
        <v/>
      </c>
      <c r="AB13">
        <f>HYPERLINK("https://klasma.github.io/Logging_0139/klagomålsmail/A 46438-2023 FSC-klagomål mail.docx", "A 46438-2023")</f>
        <v/>
      </c>
      <c r="AC13">
        <f>HYPERLINK("https://klasma.github.io/Logging_0139/tillsyn/A 46438-2023 tillsynsbegäran.docx", "A 46438-2023")</f>
        <v/>
      </c>
      <c r="AD13">
        <f>HYPERLINK("https://klasma.github.io/Logging_0139/tillsynsmail/A 46438-2023 tillsynsbegäran mail.docx", "A 46438-2023")</f>
        <v/>
      </c>
    </row>
    <row r="14" ht="15" customHeight="1">
      <c r="A14" t="inlineStr">
        <is>
          <t>A 64098-2023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45279</v>
      </c>
      <c r="E14" s="1" t="n">
        <v>46275</v>
      </c>
      <c r="F14" t="inlineStr">
        <is>
          <t>STOCKHOLMS LÄN</t>
        </is>
      </c>
      <c r="G14" t="inlineStr">
        <is>
          <t>UPPLANDS-BRO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Skogsalmsdvärgmal</t>
        </is>
      </c>
      <c r="W14">
        <f>HYPERLINK("https://klasma.github.io/Logging_0139/artfynd/A 64098-2023 artfynd.xlsx", "A 64098-2023")</f>
        <v/>
      </c>
      <c r="X14">
        <f>HYPERLINK("https://klasma.github.io/Logging_0139/kartor/A 64098-2023 karta.png", "A 64098-2023")</f>
        <v/>
      </c>
      <c r="Y14">
        <f>HYPERLINK("https://klasma.github.io/Logging_0139/kartor_geotiff/A 64098-2023 georefererad karta.tif", "A 64098-2023")</f>
        <v/>
      </c>
      <c r="AA14">
        <f>HYPERLINK("https://klasma.github.io/Logging_0139/klagomål/A 64098-2023 FSC-klagomål.docx", "A 64098-2023")</f>
        <v/>
      </c>
      <c r="AB14">
        <f>HYPERLINK("https://klasma.github.io/Logging_0139/klagomålsmail/A 64098-2023 FSC-klagomål mail.docx", "A 64098-2023")</f>
        <v/>
      </c>
      <c r="AC14">
        <f>HYPERLINK("https://klasma.github.io/Logging_0139/tillsyn/A 64098-2023 tillsynsbegäran.docx", "A 64098-2023")</f>
        <v/>
      </c>
      <c r="AD14">
        <f>HYPERLINK("https://klasma.github.io/Logging_0139/tillsynsmail/A 64098-2023 tillsynsbegäran mail.docx", "A 64098-2023")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46275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46275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Kopparödla</t>
        </is>
      </c>
      <c r="W16">
        <f>HYPERLINK("https://klasma.github.io/Logging_0139/artfynd/A 73773-2021 artfynd.xlsx", "A 73773-2021")</f>
        <v/>
      </c>
      <c r="X16">
        <f>HYPERLINK("https://klasma.github.io/Logging_0139/kartor/A 73773-2021 karta.png", "A 73773-2021")</f>
        <v/>
      </c>
      <c r="Y16">
        <f>HYPERLINK("https://klasma.github.io/Logging_0139/kartor_geotiff/A 73773-2021 georefererad karta.tif", "A 73773-2021")</f>
        <v/>
      </c>
      <c r="AA16">
        <f>HYPERLINK("https://klasma.github.io/Logging_0139/klagomål/A 73773-2021 FSC-klagomål.docx", "A 73773-2021")</f>
        <v/>
      </c>
      <c r="AB16">
        <f>HYPERLINK("https://klasma.github.io/Logging_0139/klagomålsmail/A 73773-2021 FSC-klagomål mail.docx", "A 73773-2021")</f>
        <v/>
      </c>
      <c r="AC16">
        <f>HYPERLINK("https://klasma.github.io/Logging_0139/tillsyn/A 73773-2021 tillsynsbegäran.docx", "A 73773-2021")</f>
        <v/>
      </c>
      <c r="AD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45803</v>
      </c>
      <c r="E17" s="1" t="n">
        <v>46275</v>
      </c>
      <c r="F17" t="inlineStr">
        <is>
          <t>STOCKHOLMS LÄN</t>
        </is>
      </c>
      <c r="G17" t="inlineStr">
        <is>
          <t>UPPLANDS-BRO</t>
        </is>
      </c>
      <c r="I17" t="n">
        <v>1.6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25561-2025 artfynd.xlsx", "A 25561-2025")</f>
        <v/>
      </c>
      <c r="X17">
        <f>HYPERLINK("https://klasma.github.io/Logging_0139/kartor/A 25561-2025 karta.png", "A 25561-2025")</f>
        <v/>
      </c>
      <c r="Y17">
        <f>HYPERLINK("https://klasma.github.io/Logging_0139/kartor_geotiff/A 25561-2025 georefererad karta.tif", "A 25561-2025")</f>
        <v/>
      </c>
      <c r="AA17">
        <f>HYPERLINK("https://klasma.github.io/Logging_0139/klagomål/A 25561-2025 FSC-klagomål.docx", "A 25561-2025")</f>
        <v/>
      </c>
      <c r="AB17">
        <f>HYPERLINK("https://klasma.github.io/Logging_0139/klagomålsmail/A 25561-2025 FSC-klagomål mail.docx", "A 25561-2025")</f>
        <v/>
      </c>
      <c r="AC17">
        <f>HYPERLINK("https://klasma.github.io/Logging_0139/tillsyn/A 25561-2025 tillsynsbegäran.docx", "A 25561-2025")</f>
        <v/>
      </c>
      <c r="AD17">
        <f>HYPERLINK("https://klasma.github.io/Logging_0139/tillsynsmail/A 25561-2025 tillsynsbegäran mail.docx", "A 25561-2025")</f>
        <v/>
      </c>
    </row>
    <row r="18" ht="15" customHeight="1">
      <c r="A18" t="inlineStr">
        <is>
          <t>A 12363-2025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45730</v>
      </c>
      <c r="E18" s="1" t="n">
        <v>46275</v>
      </c>
      <c r="F18" t="inlineStr">
        <is>
          <t>STOCKHOLMS LÄN</t>
        </is>
      </c>
      <c r="G18" t="inlineStr">
        <is>
          <t>UPPLANDS-BRO</t>
        </is>
      </c>
      <c r="I18" t="n">
        <v>0.8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Nästrot</t>
        </is>
      </c>
      <c r="W18">
        <f>HYPERLINK("https://klasma.github.io/Logging_0139/artfynd/A 12363-2025 artfynd.xlsx", "A 12363-2025")</f>
        <v/>
      </c>
      <c r="X18">
        <f>HYPERLINK("https://klasma.github.io/Logging_0139/kartor/A 12363-2025 karta.png", "A 12363-2025")</f>
        <v/>
      </c>
      <c r="Y18">
        <f>HYPERLINK("https://klasma.github.io/Logging_0139/kartor_geotiff/A 12363-2025 georefererad karta.tif", "A 12363-2025")</f>
        <v/>
      </c>
      <c r="AA18">
        <f>HYPERLINK("https://klasma.github.io/Logging_0139/klagomål/A 12363-2025 FSC-klagomål.docx", "A 12363-2025")</f>
        <v/>
      </c>
      <c r="AB18">
        <f>HYPERLINK("https://klasma.github.io/Logging_0139/klagomålsmail/A 12363-2025 FSC-klagomål mail.docx", "A 12363-2025")</f>
        <v/>
      </c>
      <c r="AC18">
        <f>HYPERLINK("https://klasma.github.io/Logging_0139/tillsyn/A 12363-2025 tillsynsbegäran.docx", "A 12363-2025")</f>
        <v/>
      </c>
      <c r="AD18">
        <f>HYPERLINK("https://klasma.github.io/Logging_0139/tillsynsmail/A 12363-2025 tillsynsbegäran mail.docx", "A 12363-2025")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46275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53357-2025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45959</v>
      </c>
      <c r="E20" s="1" t="n">
        <v>46275</v>
      </c>
      <c r="F20" t="inlineStr">
        <is>
          <t>STOCKHOLMS LÄN</t>
        </is>
      </c>
      <c r="G20" t="inlineStr">
        <is>
          <t>UPPLANDS-BRO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4</v>
      </c>
      <c r="U20" t="n">
        <v>0</v>
      </c>
      <c r="V20" s="2" t="inlineStr">
        <is>
          <t>Bombmurkla</t>
        </is>
      </c>
      <c r="W20">
        <f>HYPERLINK("https://klasma.github.io/Logging_0139/artfynd/A 53357-2025 artfynd.xlsx", "A 53357-2025")</f>
        <v/>
      </c>
      <c r="X20">
        <f>HYPERLINK("https://klasma.github.io/Logging_0139/kartor/A 53357-2025 karta.png", "A 53357-2025")</f>
        <v/>
      </c>
      <c r="Y20">
        <f>HYPERLINK("https://klasma.github.io/Logging_0139/kartor_geotiff/A 53357-2025 georefererad karta.tif", "A 53357-2025")</f>
        <v/>
      </c>
      <c r="AA20">
        <f>HYPERLINK("https://klasma.github.io/Logging_0139/klagomål/A 53357-2025 FSC-klagomål.docx", "A 53357-2025")</f>
        <v/>
      </c>
      <c r="AB20">
        <f>HYPERLINK("https://klasma.github.io/Logging_0139/klagomålsmail/A 53357-2025 FSC-klagomål mail.docx", "A 53357-2025")</f>
        <v/>
      </c>
      <c r="AC20">
        <f>HYPERLINK("https://klasma.github.io/Logging_0139/tillsyn/A 53357-2025 tillsynsbegäran.docx", "A 53357-2025")</f>
        <v/>
      </c>
      <c r="AD20">
        <f>HYPERLINK("https://klasma.github.io/Logging_0139/tillsynsmail/A 53357-2025 tillsynsbegäran mail.docx", "A 53357-2025")</f>
        <v/>
      </c>
    </row>
    <row r="21" ht="15" customHeight="1">
      <c r="A21" t="inlineStr">
        <is>
          <t>A 2409-2026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46034</v>
      </c>
      <c r="E21" s="1" t="n">
        <v>46275</v>
      </c>
      <c r="F21" t="inlineStr">
        <is>
          <t>STOCKHOLMS LÄN</t>
        </is>
      </c>
      <c r="G21" t="inlineStr">
        <is>
          <t>UPPLANDS-BRO</t>
        </is>
      </c>
      <c r="I21" t="n">
        <v>14.2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HYPERLINK("https://klasma.github.io/Logging_0139/artfynd/A 2409-2026 artfynd.xlsx", "A 2409-2026")</f>
        <v/>
      </c>
      <c r="X21">
        <f>HYPERLINK("https://klasma.github.io/Logging_0139/kartor/A 2409-2026 karta.png", "A 2409-2026")</f>
        <v/>
      </c>
      <c r="Y21">
        <f>HYPERLINK("https://klasma.github.io/Logging_0139/kartor_geotiff/A 2409-2026 georefererad karta.tif", "A 2409-2026")</f>
        <v/>
      </c>
      <c r="AA21">
        <f>HYPERLINK("https://klasma.github.io/Logging_0139/klagomål/A 2409-2026 FSC-klagomål.docx", "A 2409-2026")</f>
        <v/>
      </c>
      <c r="AB21">
        <f>HYPERLINK("https://klasma.github.io/Logging_0139/klagomålsmail/A 2409-2026 FSC-klagomål mail.docx", "A 2409-2026")</f>
        <v/>
      </c>
      <c r="AC21">
        <f>HYPERLINK("https://klasma.github.io/Logging_0139/tillsyn/A 2409-2026 tillsynsbegäran.docx", "A 2409-2026")</f>
        <v/>
      </c>
      <c r="AD21">
        <f>HYPERLINK("https://klasma.github.io/Logging_0139/tillsynsmail/A 2409-2026 tillsynsbegäran mail.docx", "A 2409-2026")</f>
        <v/>
      </c>
      <c r="AE21">
        <f>HYPERLINK("https://klasma.github.io/Logging_0139/fåglar/A 2409-2026 prioriterade fågelarter.docx", "A 2409-2026")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46275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46275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46275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46275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46275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46275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46275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45450</v>
      </c>
      <c r="E31" s="1" t="n">
        <v>46275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59700-2021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44494</v>
      </c>
      <c r="E32" s="1" t="n">
        <v>46275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46275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45225</v>
      </c>
      <c r="E34" s="1" t="n">
        <v>46275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64105-2023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45279</v>
      </c>
      <c r="E35" s="1" t="n">
        <v>46275</v>
      </c>
      <c r="F35" t="inlineStr">
        <is>
          <t>STOCKHOLMS LÄN</t>
        </is>
      </c>
      <c r="G35" t="inlineStr">
        <is>
          <t>UPPLANDS-BRO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38902-2024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46275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50294-2023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46275</v>
      </c>
      <c r="F37" t="inlineStr">
        <is>
          <t>STOCKHOLMS LÄN</t>
        </is>
      </c>
      <c r="G37" t="inlineStr">
        <is>
          <t>UPPLANDS-BRO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45279</v>
      </c>
      <c r="E38" s="1" t="n">
        <v>46275</v>
      </c>
      <c r="F38" t="inlineStr">
        <is>
          <t>STOCKHOLMS LÄN</t>
        </is>
      </c>
      <c r="G38" t="inlineStr">
        <is>
          <t>UPPLANDS-BRO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51587-2023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46275</v>
      </c>
      <c r="F39" t="inlineStr">
        <is>
          <t>STOCKHOLMS LÄN</t>
        </is>
      </c>
      <c r="G39" t="inlineStr">
        <is>
          <t>UPPLANDS-BRO</t>
        </is>
      </c>
      <c r="H39" t="inlineStr">
        <is>
          <t>Allmännings- och besparingsskogar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46275</v>
      </c>
      <c r="F40" t="inlineStr">
        <is>
          <t>STOCKHOLMS LÄN</t>
        </is>
      </c>
      <c r="G40" t="inlineStr">
        <is>
          <t>UPPLANDS-BRO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46275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46275</v>
      </c>
      <c r="F42" t="inlineStr">
        <is>
          <t>STOCKHOLMS LÄN</t>
        </is>
      </c>
      <c r="G42" t="inlineStr">
        <is>
          <t>UPPLANDS-BRO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46275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46275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46275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45701</v>
      </c>
      <c r="E46" s="1" t="n">
        <v>46275</v>
      </c>
      <c r="F46" t="inlineStr">
        <is>
          <t>STOCKHOLMS LÄN</t>
        </is>
      </c>
      <c r="G46" t="inlineStr">
        <is>
          <t>UPPLANDS-BRO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46275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46275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46275</v>
      </c>
      <c r="F49" t="inlineStr">
        <is>
          <t>STOCKHOLMS LÄN</t>
        </is>
      </c>
      <c r="G49" t="inlineStr">
        <is>
          <t>UPPLANDS-BRO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46275</v>
      </c>
      <c r="F50" t="inlineStr">
        <is>
          <t>STOCKHOLMS LÄN</t>
        </is>
      </c>
      <c r="G50" t="inlineStr">
        <is>
          <t>UPPLANDS-BRO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46275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46275</v>
      </c>
      <c r="F52" t="inlineStr">
        <is>
          <t>STOCKHOLMS LÄN</t>
        </is>
      </c>
      <c r="G52" t="inlineStr">
        <is>
          <t>UPPLANDS-BRO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46275</v>
      </c>
      <c r="F53" t="inlineStr">
        <is>
          <t>STOCKHOLMS LÄN</t>
        </is>
      </c>
      <c r="G53" t="inlineStr">
        <is>
          <t>UPPLANDS-BRO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46275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9.6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45313</v>
      </c>
      <c r="E55" s="1" t="n">
        <v>46275</v>
      </c>
      <c r="F55" t="inlineStr">
        <is>
          <t>STOCKHOLMS LÄN</t>
        </is>
      </c>
      <c r="G55" t="inlineStr">
        <is>
          <t>UPPLANDS-BRO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44906</v>
      </c>
      <c r="E56" s="1" t="n">
        <v>46275</v>
      </c>
      <c r="F56" t="inlineStr">
        <is>
          <t>STOCKHOLMS LÄN</t>
        </is>
      </c>
      <c r="G56" t="inlineStr">
        <is>
          <t>UPPLANDS-BRO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46275</v>
      </c>
      <c r="F57" t="inlineStr">
        <is>
          <t>STOCKHOLMS LÄN</t>
        </is>
      </c>
      <c r="G57" t="inlineStr">
        <is>
          <t>UPPLANDS-BRO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7860-2024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45348</v>
      </c>
      <c r="E58" s="1" t="n">
        <v>46275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46275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46275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46275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46275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46275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46275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46170</v>
      </c>
      <c r="E65" s="1" t="n">
        <v>46275</v>
      </c>
      <c r="F65" t="inlineStr">
        <is>
          <t>STOCKHOLMS LÄN</t>
        </is>
      </c>
      <c r="G65" t="inlineStr">
        <is>
          <t>UPPLANDS-BRO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46275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44770</v>
      </c>
      <c r="E67" s="1" t="n">
        <v>46275</v>
      </c>
      <c r="F67" t="inlineStr">
        <is>
          <t>STOCKHOLMS LÄN</t>
        </is>
      </c>
      <c r="G67" t="inlineStr">
        <is>
          <t>UPPLANDS-BRO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26196-2026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46182</v>
      </c>
      <c r="E68" s="1" t="n">
        <v>46275</v>
      </c>
      <c r="F68" t="inlineStr">
        <is>
          <t>STOCKHOLMS LÄN</t>
        </is>
      </c>
      <c r="G68" t="inlineStr">
        <is>
          <t>UPPLANDS-BRO</t>
        </is>
      </c>
      <c r="I68" t="n">
        <v>53.1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46275</v>
      </c>
      <c r="F69" t="inlineStr">
        <is>
          <t>STOCKHOLMS LÄN</t>
        </is>
      </c>
      <c r="G69" t="inlineStr">
        <is>
          <t>UPPLANDS-BRO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46275</v>
      </c>
      <c r="F70" t="inlineStr">
        <is>
          <t>STOCKHOLMS LÄN</t>
        </is>
      </c>
      <c r="G70" t="inlineStr">
        <is>
          <t>UPPLANDS-BRO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46275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46275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46275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46275</v>
      </c>
      <c r="F74" t="inlineStr">
        <is>
          <t>STOCKHOLMS LÄN</t>
        </is>
      </c>
      <c r="G74" t="inlineStr">
        <is>
          <t>UPPLANDS-BRO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46275</v>
      </c>
      <c r="F75" t="inlineStr">
        <is>
          <t>STOCKHOLMS LÄN</t>
        </is>
      </c>
      <c r="G75" t="inlineStr">
        <is>
          <t>UPPLANDS-BRO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33058-2026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46245</v>
      </c>
      <c r="E76" s="1" t="n">
        <v>46275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46226</v>
      </c>
      <c r="E77" s="1" t="n">
        <v>46275</v>
      </c>
      <c r="F77" t="inlineStr">
        <is>
          <t>STOCKHOLMS LÄN</t>
        </is>
      </c>
      <c r="G77" t="inlineStr">
        <is>
          <t>UPPLANDS-BRO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46275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2026-09-10T02:13:44Z</dcterms:created>
  <dcterms:modified xmlns:dcterms="http://purl.org/dc/terms/" xmlns:xsi="http://www.w3.org/2001/XMLSchema-instance" xsi:type="dcterms:W3CDTF">2026-09-10T02:13:44Z</dcterms:modified>
</cp:coreProperties>
</file>