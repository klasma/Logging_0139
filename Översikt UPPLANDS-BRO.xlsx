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34890-2018</t>
        </is>
      </c>
      <c r="B2" s="1" t="n">
        <v>43321</v>
      </c>
      <c r="C2" s="1" t="n">
        <v>45351</v>
      </c>
      <c r="D2" t="inlineStr">
        <is>
          <t>STOCKHOLMS LÄN</t>
        </is>
      </c>
      <c r="E2" t="inlineStr">
        <is>
          <t>UPPLANDS-BRO</t>
        </is>
      </c>
      <c r="G2" t="n">
        <v>19.2</v>
      </c>
      <c r="H2" t="n">
        <v>3</v>
      </c>
      <c r="I2" t="n">
        <v>8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Rynkskinn
Motaggsvamp
Såpfingersvamp
Talltita
Ullticka
Blåmossa
Granbarkgnagare
Granbräken
Grönpyrola
Gullgröppa
Skarp dropptaggsvamp
Tallfingersvamp
Zontaggsvamp
Fläcknycklar
Revlummer</t>
        </is>
      </c>
      <c r="S2">
        <f>HYPERLINK("https://klasma.github.io/Logging_0139/artfynd/A 34890-2018 artfynd.xlsx", "A 34890-2018")</f>
        <v/>
      </c>
      <c r="T2">
        <f>HYPERLINK("https://klasma.github.io/Logging_0139/kartor/A 34890-2018 karta.png", "A 34890-2018")</f>
        <v/>
      </c>
      <c r="V2">
        <f>HYPERLINK("https://klasma.github.io/Logging_0139/klagomål/A 34890-2018 FSC-klagomål.docx", "A 34890-2018")</f>
        <v/>
      </c>
      <c r="W2">
        <f>HYPERLINK("https://klasma.github.io/Logging_0139/klagomålsmail/A 34890-2018 FSC-klagomål mail.docx", "A 34890-2018")</f>
        <v/>
      </c>
      <c r="X2">
        <f>HYPERLINK("https://klasma.github.io/Logging_0139/tillsyn/A 34890-2018 tillsynsbegäran.docx", "A 34890-2018")</f>
        <v/>
      </c>
      <c r="Y2">
        <f>HYPERLINK("https://klasma.github.io/Logging_0139/tillsynsmail/A 34890-2018 tillsynsbegäran mail.docx", "A 34890-2018")</f>
        <v/>
      </c>
      <c r="Z2">
        <f>HYPERLINK("https://klasma.github.io/Logging_0139/fåglar/A 34890-2018 prioriterade fågelarter.docx", "A 34890-2018")</f>
        <v/>
      </c>
    </row>
    <row r="3" ht="15" customHeight="1">
      <c r="A3" t="inlineStr">
        <is>
          <t>A 20601-2022</t>
        </is>
      </c>
      <c r="B3" s="1" t="n">
        <v>44700</v>
      </c>
      <c r="C3" s="1" t="n">
        <v>45351</v>
      </c>
      <c r="D3" t="inlineStr">
        <is>
          <t>STOCKHOLMS LÄN</t>
        </is>
      </c>
      <c r="E3" t="inlineStr">
        <is>
          <t>UPPLANDS-BRO</t>
        </is>
      </c>
      <c r="G3" t="n">
        <v>3</v>
      </c>
      <c r="H3" t="n">
        <v>12</v>
      </c>
      <c r="I3" t="n">
        <v>0</v>
      </c>
      <c r="J3" t="n">
        <v>10</v>
      </c>
      <c r="K3" t="n">
        <v>1</v>
      </c>
      <c r="L3" t="n">
        <v>2</v>
      </c>
      <c r="M3" t="n">
        <v>0</v>
      </c>
      <c r="N3" t="n">
        <v>0</v>
      </c>
      <c r="O3" t="n">
        <v>13</v>
      </c>
      <c r="P3" t="n">
        <v>3</v>
      </c>
      <c r="Q3" t="n">
        <v>15</v>
      </c>
      <c r="R3" s="2" t="inlineStr">
        <is>
          <t>Grönfink
Tornseglare
Gråtrut
Bredbrämad bastardsvärmare
Entita
Grönsångare
Gulsparv
Kråka
Mindre bastardsvärmare
Mindre hackspett
Sexfläckig bastardsvärmare
Spillkråka
Talltita
Huggorm
Kopparödla</t>
        </is>
      </c>
      <c r="S3">
        <f>HYPERLINK("https://klasma.github.io/Logging_0139/artfynd/A 20601-2022 artfynd.xlsx", "A 20601-2022")</f>
        <v/>
      </c>
      <c r="T3">
        <f>HYPERLINK("https://klasma.github.io/Logging_0139/kartor/A 20601-2022 karta.png", "A 20601-2022")</f>
        <v/>
      </c>
      <c r="V3">
        <f>HYPERLINK("https://klasma.github.io/Logging_0139/klagomål/A 20601-2022 FSC-klagomål.docx", "A 20601-2022")</f>
        <v/>
      </c>
      <c r="W3">
        <f>HYPERLINK("https://klasma.github.io/Logging_0139/klagomålsmail/A 20601-2022 FSC-klagomål mail.docx", "A 20601-2022")</f>
        <v/>
      </c>
      <c r="X3">
        <f>HYPERLINK("https://klasma.github.io/Logging_0139/tillsyn/A 20601-2022 tillsynsbegäran.docx", "A 20601-2022")</f>
        <v/>
      </c>
      <c r="Y3">
        <f>HYPERLINK("https://klasma.github.io/Logging_0139/tillsynsmail/A 20601-2022 tillsynsbegäran mail.docx", "A 20601-2022")</f>
        <v/>
      </c>
      <c r="Z3">
        <f>HYPERLINK("https://klasma.github.io/Logging_0139/fåglar/A 20601-2022 prioriterade fågelarter.docx", "A 20601-2022")</f>
        <v/>
      </c>
    </row>
    <row r="4" ht="15" customHeight="1">
      <c r="A4" t="inlineStr">
        <is>
          <t>A 55773-2023</t>
        </is>
      </c>
      <c r="B4" s="1" t="n">
        <v>45232</v>
      </c>
      <c r="C4" s="1" t="n">
        <v>45351</v>
      </c>
      <c r="D4" t="inlineStr">
        <is>
          <t>STOCKHOLMS LÄN</t>
        </is>
      </c>
      <c r="E4" t="inlineStr">
        <is>
          <t>UPPLANDS-BRO</t>
        </is>
      </c>
      <c r="G4" t="n">
        <v>4.9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Flattoppad klubbsvamp
Fyrflikig jordstjärna
Grantaggsvamp
Fjällig taggsvamp s.str.
Kamjordstjärna
Skarp dropptaggsvamp
Svavelriska
Zontaggsvamp
Kopparödla
Nattviol</t>
        </is>
      </c>
      <c r="S4">
        <f>HYPERLINK("https://klasma.github.io/Logging_0139/artfynd/A 55773-2023 artfynd.xlsx", "A 55773-2023")</f>
        <v/>
      </c>
      <c r="T4">
        <f>HYPERLINK("https://klasma.github.io/Logging_0139/kartor/A 55773-2023 karta.png", "A 55773-2023")</f>
        <v/>
      </c>
      <c r="V4">
        <f>HYPERLINK("https://klasma.github.io/Logging_0139/klagomål/A 55773-2023 FSC-klagomål.docx", "A 55773-2023")</f>
        <v/>
      </c>
      <c r="W4">
        <f>HYPERLINK("https://klasma.github.io/Logging_0139/klagomålsmail/A 55773-2023 FSC-klagomål mail.docx", "A 55773-2023")</f>
        <v/>
      </c>
      <c r="X4">
        <f>HYPERLINK("https://klasma.github.io/Logging_0139/tillsyn/A 55773-2023 tillsynsbegäran.docx", "A 55773-2023")</f>
        <v/>
      </c>
      <c r="Y4">
        <f>HYPERLINK("https://klasma.github.io/Logging_0139/tillsynsmail/A 55773-2023 tillsynsbegäran mail.docx", "A 55773-2023")</f>
        <v/>
      </c>
    </row>
    <row r="5" ht="15" customHeight="1">
      <c r="A5" t="inlineStr">
        <is>
          <t>A 31366-2021</t>
        </is>
      </c>
      <c r="B5" s="1" t="n">
        <v>44368</v>
      </c>
      <c r="C5" s="1" t="n">
        <v>45351</v>
      </c>
      <c r="D5" t="inlineStr">
        <is>
          <t>STOCKHOLMS LÄN</t>
        </is>
      </c>
      <c r="E5" t="inlineStr">
        <is>
          <t>UPPLANDS-BRO</t>
        </is>
      </c>
      <c r="G5" t="n">
        <v>8.5</v>
      </c>
      <c r="H5" t="n">
        <v>2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9</v>
      </c>
      <c r="R5" s="2" t="inlineStr">
        <is>
          <t>Klotsporig murkla
Motaggsvamp
Spillkråka
Blåmossa
Rödbrun jordstjärna
Stubbspretmossa
Svavelriska
Thomsons trägnagare
Blåsippa</t>
        </is>
      </c>
      <c r="S5">
        <f>HYPERLINK("https://klasma.github.io/Logging_0139/artfynd/A 31366-2021 artfynd.xlsx", "A 31366-2021")</f>
        <v/>
      </c>
      <c r="T5">
        <f>HYPERLINK("https://klasma.github.io/Logging_0139/kartor/A 31366-2021 karta.png", "A 31366-2021")</f>
        <v/>
      </c>
      <c r="V5">
        <f>HYPERLINK("https://klasma.github.io/Logging_0139/klagomål/A 31366-2021 FSC-klagomål.docx", "A 31366-2021")</f>
        <v/>
      </c>
      <c r="W5">
        <f>HYPERLINK("https://klasma.github.io/Logging_0139/klagomålsmail/A 31366-2021 FSC-klagomål mail.docx", "A 31366-2021")</f>
        <v/>
      </c>
      <c r="X5">
        <f>HYPERLINK("https://klasma.github.io/Logging_0139/tillsyn/A 31366-2021 tillsynsbegäran.docx", "A 31366-2021")</f>
        <v/>
      </c>
      <c r="Y5">
        <f>HYPERLINK("https://klasma.github.io/Logging_0139/tillsynsmail/A 31366-2021 tillsynsbegäran mail.docx", "A 31366-2021")</f>
        <v/>
      </c>
      <c r="Z5">
        <f>HYPERLINK("https://klasma.github.io/Logging_0139/fåglar/A 31366-2021 prioriterade fågelarter.docx", "A 31366-2021")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45351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45351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45351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45351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45351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45351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45351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45351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45351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11906-2019</t>
        </is>
      </c>
      <c r="B15" s="1" t="n">
        <v>43521</v>
      </c>
      <c r="C15" s="1" t="n">
        <v>45351</v>
      </c>
      <c r="D15" t="inlineStr">
        <is>
          <t>STOCKHOLMS LÄN</t>
        </is>
      </c>
      <c r="E15" t="inlineStr">
        <is>
          <t>UPPLANDS-BRO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16815-2019</t>
        </is>
      </c>
      <c r="B16" s="1" t="n">
        <v>43549</v>
      </c>
      <c r="C16" s="1" t="n">
        <v>45351</v>
      </c>
      <c r="D16" t="inlineStr">
        <is>
          <t>STOCKHOLMS LÄN</t>
        </is>
      </c>
      <c r="E16" t="inlineStr">
        <is>
          <t>UPPLANDS-BRO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28481-2019</t>
        </is>
      </c>
      <c r="B17" s="1" t="n">
        <v>43614</v>
      </c>
      <c r="C17" s="1" t="n">
        <v>45351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33732-2019</t>
        </is>
      </c>
      <c r="B18" s="1" t="n">
        <v>43644</v>
      </c>
      <c r="C18" s="1" t="n">
        <v>45351</v>
      </c>
      <c r="D18" t="inlineStr">
        <is>
          <t>STOCKHOLMS LÄN</t>
        </is>
      </c>
      <c r="E18" t="inlineStr">
        <is>
          <t>UPPLANDS-BRO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35187-2019</t>
        </is>
      </c>
      <c r="B19" s="1" t="n">
        <v>43661</v>
      </c>
      <c r="C19" s="1" t="n">
        <v>45351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36722-2019</t>
        </is>
      </c>
      <c r="B20" s="1" t="n">
        <v>43671</v>
      </c>
      <c r="C20" s="1" t="n">
        <v>45351</v>
      </c>
      <c r="D20" t="inlineStr">
        <is>
          <t>STOCKHOLMS LÄN</t>
        </is>
      </c>
      <c r="E20" t="inlineStr">
        <is>
          <t>UPPLANDS-BRO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36725-2019</t>
        </is>
      </c>
      <c r="B21" s="1" t="n">
        <v>43671</v>
      </c>
      <c r="C21" s="1" t="n">
        <v>45351</v>
      </c>
      <c r="D21" t="inlineStr">
        <is>
          <t>STOCKHOLMS LÄN</t>
        </is>
      </c>
      <c r="E21" t="inlineStr">
        <is>
          <t>UPPLANDS-BRO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36728-2019</t>
        </is>
      </c>
      <c r="B22" s="1" t="n">
        <v>43671</v>
      </c>
      <c r="C22" s="1" t="n">
        <v>45351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39472-2019</t>
        </is>
      </c>
      <c r="B23" s="1" t="n">
        <v>43691</v>
      </c>
      <c r="C23" s="1" t="n">
        <v>45351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63370-2019</t>
        </is>
      </c>
      <c r="B24" s="1" t="n">
        <v>43794</v>
      </c>
      <c r="C24" s="1" t="n">
        <v>45351</v>
      </c>
      <c r="D24" t="inlineStr">
        <is>
          <t>STOCKHOLMS LÄN</t>
        </is>
      </c>
      <c r="E24" t="inlineStr">
        <is>
          <t>UPPLANDS-BRO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63745-2019</t>
        </is>
      </c>
      <c r="B25" s="1" t="n">
        <v>43795</v>
      </c>
      <c r="C25" s="1" t="n">
        <v>45351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65405-2019</t>
        </is>
      </c>
      <c r="B26" s="1" t="n">
        <v>43798</v>
      </c>
      <c r="C26" s="1" t="n">
        <v>45351</v>
      </c>
      <c r="D26" t="inlineStr">
        <is>
          <t>STOCKHOLMS LÄN</t>
        </is>
      </c>
      <c r="E26" t="inlineStr">
        <is>
          <t>UPPLANDS-BRO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68236-2019</t>
        </is>
      </c>
      <c r="B27" s="1" t="n">
        <v>43817</v>
      </c>
      <c r="C27" s="1" t="n">
        <v>45351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6370-2020</t>
        </is>
      </c>
      <c r="B28" s="1" t="n">
        <v>43866</v>
      </c>
      <c r="C28" s="1" t="n">
        <v>45351</v>
      </c>
      <c r="D28" t="inlineStr">
        <is>
          <t>STOCKHOLMS LÄN</t>
        </is>
      </c>
      <c r="E28" t="inlineStr">
        <is>
          <t>UPPLANDS-BRO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6357-2020</t>
        </is>
      </c>
      <c r="B29" s="1" t="n">
        <v>43866</v>
      </c>
      <c r="C29" s="1" t="n">
        <v>45351</v>
      </c>
      <c r="D29" t="inlineStr">
        <is>
          <t>STOCKHOLMS LÄN</t>
        </is>
      </c>
      <c r="E29" t="inlineStr">
        <is>
          <t>UPPLANDS-BRO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31196-2020</t>
        </is>
      </c>
      <c r="B30" s="1" t="n">
        <v>44012</v>
      </c>
      <c r="C30" s="1" t="n">
        <v>45351</v>
      </c>
      <c r="D30" t="inlineStr">
        <is>
          <t>STOCKHOLMS LÄN</t>
        </is>
      </c>
      <c r="E30" t="inlineStr">
        <is>
          <t>UPPLANDS-BRO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36248-2020</t>
        </is>
      </c>
      <c r="B31" s="1" t="n">
        <v>44049</v>
      </c>
      <c r="C31" s="1" t="n">
        <v>45351</v>
      </c>
      <c r="D31" t="inlineStr">
        <is>
          <t>STOCKHOLMS LÄN</t>
        </is>
      </c>
      <c r="E31" t="inlineStr">
        <is>
          <t>UPPLANDS-BRO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49686-2020</t>
        </is>
      </c>
      <c r="B32" s="1" t="n">
        <v>44106</v>
      </c>
      <c r="C32" s="1" t="n">
        <v>45351</v>
      </c>
      <c r="D32" t="inlineStr">
        <is>
          <t>STOCKHOLMS LÄN</t>
        </is>
      </c>
      <c r="E32" t="inlineStr">
        <is>
          <t>UPPLANDS-BRO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50698-2020</t>
        </is>
      </c>
      <c r="B33" s="1" t="n">
        <v>44111</v>
      </c>
      <c r="C33" s="1" t="n">
        <v>45351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55541-2020</t>
        </is>
      </c>
      <c r="B34" s="1" t="n">
        <v>44131</v>
      </c>
      <c r="C34" s="1" t="n">
        <v>45351</v>
      </c>
      <c r="D34" t="inlineStr">
        <is>
          <t>STOCKHOLMS LÄN</t>
        </is>
      </c>
      <c r="E34" t="inlineStr">
        <is>
          <t>UPPLANDS-BRO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64015-2020</t>
        </is>
      </c>
      <c r="B35" s="1" t="n">
        <v>44167</v>
      </c>
      <c r="C35" s="1" t="n">
        <v>45351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65954-2020</t>
        </is>
      </c>
      <c r="B36" s="1" t="n">
        <v>44175</v>
      </c>
      <c r="C36" s="1" t="n">
        <v>45351</v>
      </c>
      <c r="D36" t="inlineStr">
        <is>
          <t>STOCKHOLMS LÄN</t>
        </is>
      </c>
      <c r="E36" t="inlineStr">
        <is>
          <t>UPPLANDS-BRO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66949-2020</t>
        </is>
      </c>
      <c r="B37" s="1" t="n">
        <v>44180</v>
      </c>
      <c r="C37" s="1" t="n">
        <v>45351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66926-2020</t>
        </is>
      </c>
      <c r="B38" s="1" t="n">
        <v>44180</v>
      </c>
      <c r="C38" s="1" t="n">
        <v>45351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66960-2020</t>
        </is>
      </c>
      <c r="B39" s="1" t="n">
        <v>44180</v>
      </c>
      <c r="C39" s="1" t="n">
        <v>45351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67286-2020</t>
        </is>
      </c>
      <c r="B40" s="1" t="n">
        <v>44181</v>
      </c>
      <c r="C40" s="1" t="n">
        <v>45351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67275-2020</t>
        </is>
      </c>
      <c r="B41" s="1" t="n">
        <v>44181</v>
      </c>
      <c r="C41" s="1" t="n">
        <v>45351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14894-2021</t>
        </is>
      </c>
      <c r="B42" s="1" t="n">
        <v>44281</v>
      </c>
      <c r="C42" s="1" t="n">
        <v>45351</v>
      </c>
      <c r="D42" t="inlineStr">
        <is>
          <t>STOCKHOLMS LÄN</t>
        </is>
      </c>
      <c r="E42" t="inlineStr">
        <is>
          <t>UPPLANDS-BRO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14897-2021</t>
        </is>
      </c>
      <c r="B43" s="1" t="n">
        <v>44281</v>
      </c>
      <c r="C43" s="1" t="n">
        <v>45351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18760-2021</t>
        </is>
      </c>
      <c r="B44" s="1" t="n">
        <v>44307</v>
      </c>
      <c r="C44" s="1" t="n">
        <v>45351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21560-2021</t>
        </is>
      </c>
      <c r="B45" s="1" t="n">
        <v>44321</v>
      </c>
      <c r="C45" s="1" t="n">
        <v>45351</v>
      </c>
      <c r="D45" t="inlineStr">
        <is>
          <t>STOCKHOLMS LÄN</t>
        </is>
      </c>
      <c r="E45" t="inlineStr">
        <is>
          <t>UPPLANDS-BRO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24308-2021</t>
        </is>
      </c>
      <c r="B46" s="1" t="n">
        <v>44336</v>
      </c>
      <c r="C46" s="1" t="n">
        <v>45351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45351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45351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36111-2021</t>
        </is>
      </c>
      <c r="B49" s="1" t="n">
        <v>44389</v>
      </c>
      <c r="C49" s="1" t="n">
        <v>45351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37335-2021</t>
        </is>
      </c>
      <c r="B50" s="1" t="n">
        <v>44397</v>
      </c>
      <c r="C50" s="1" t="n">
        <v>45351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37421-2021</t>
        </is>
      </c>
      <c r="B51" s="1" t="n">
        <v>44397</v>
      </c>
      <c r="C51" s="1" t="n">
        <v>45351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40514-2021</t>
        </is>
      </c>
      <c r="B52" s="1" t="n">
        <v>44420</v>
      </c>
      <c r="C52" s="1" t="n">
        <v>45351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40510-2021</t>
        </is>
      </c>
      <c r="B53" s="1" t="n">
        <v>44420</v>
      </c>
      <c r="C53" s="1" t="n">
        <v>45351</v>
      </c>
      <c r="D53" t="inlineStr">
        <is>
          <t>STOCKHOLMS LÄN</t>
        </is>
      </c>
      <c r="E53" t="inlineStr">
        <is>
          <t>UPPLANDS-BRO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41465-2021</t>
        </is>
      </c>
      <c r="B54" s="1" t="n">
        <v>44424</v>
      </c>
      <c r="C54" s="1" t="n">
        <v>45351</v>
      </c>
      <c r="D54" t="inlineStr">
        <is>
          <t>STOCKHOLMS LÄN</t>
        </is>
      </c>
      <c r="E54" t="inlineStr">
        <is>
          <t>UPPLANDS-BRO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41463-2021</t>
        </is>
      </c>
      <c r="B55" s="1" t="n">
        <v>44424</v>
      </c>
      <c r="C55" s="1" t="n">
        <v>45351</v>
      </c>
      <c r="D55" t="inlineStr">
        <is>
          <t>STOCKHOLMS LÄN</t>
        </is>
      </c>
      <c r="E55" t="inlineStr">
        <is>
          <t>UPPLANDS-BRO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46244-2021</t>
        </is>
      </c>
      <c r="B56" s="1" t="n">
        <v>44442</v>
      </c>
      <c r="C56" s="1" t="n">
        <v>45351</v>
      </c>
      <c r="D56" t="inlineStr">
        <is>
          <t>STOCKHOLMS LÄN</t>
        </is>
      </c>
      <c r="E56" t="inlineStr">
        <is>
          <t>UPPLANDS-BRO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45351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56756-2021</t>
        </is>
      </c>
      <c r="B58" s="1" t="n">
        <v>44481</v>
      </c>
      <c r="C58" s="1" t="n">
        <v>45351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57993-2021</t>
        </is>
      </c>
      <c r="B59" s="1" t="n">
        <v>44487</v>
      </c>
      <c r="C59" s="1" t="n">
        <v>45351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45351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58669-2021</t>
        </is>
      </c>
      <c r="B61" s="1" t="n">
        <v>44489</v>
      </c>
      <c r="C61" s="1" t="n">
        <v>45351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20.7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58663-2021</t>
        </is>
      </c>
      <c r="B62" s="1" t="n">
        <v>44489</v>
      </c>
      <c r="C62" s="1" t="n">
        <v>45351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59732-2021</t>
        </is>
      </c>
      <c r="B63" s="1" t="n">
        <v>44494</v>
      </c>
      <c r="C63" s="1" t="n">
        <v>45351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45351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68554-2021</t>
        </is>
      </c>
      <c r="B65" s="1" t="n">
        <v>44529</v>
      </c>
      <c r="C65" s="1" t="n">
        <v>45351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68564-2021</t>
        </is>
      </c>
      <c r="B66" s="1" t="n">
        <v>44529</v>
      </c>
      <c r="C66" s="1" t="n">
        <v>45351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72523-2021</t>
        </is>
      </c>
      <c r="B67" s="1" t="n">
        <v>44546</v>
      </c>
      <c r="C67" s="1" t="n">
        <v>45351</v>
      </c>
      <c r="D67" t="inlineStr">
        <is>
          <t>STOCKHOLMS LÄN</t>
        </is>
      </c>
      <c r="E67" t="inlineStr">
        <is>
          <t>UPPLANDS-BRO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45351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3838-2022</t>
        </is>
      </c>
      <c r="B69" s="1" t="n">
        <v>44587</v>
      </c>
      <c r="C69" s="1" t="n">
        <v>45351</v>
      </c>
      <c r="D69" t="inlineStr">
        <is>
          <t>STOCKHOLMS LÄN</t>
        </is>
      </c>
      <c r="E69" t="inlineStr">
        <is>
          <t>UPPLANDS-BRO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6982-2022</t>
        </is>
      </c>
      <c r="B70" s="1" t="n">
        <v>44603</v>
      </c>
      <c r="C70" s="1" t="n">
        <v>45351</v>
      </c>
      <c r="D70" t="inlineStr">
        <is>
          <t>STOCKHOLMS LÄN</t>
        </is>
      </c>
      <c r="E70" t="inlineStr">
        <is>
          <t>UPPLANDS-BRO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45351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8261-2022</t>
        </is>
      </c>
      <c r="B72" s="1" t="n">
        <v>44609</v>
      </c>
      <c r="C72" s="1" t="n">
        <v>45351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14719-2022</t>
        </is>
      </c>
      <c r="B73" s="1" t="n">
        <v>44655</v>
      </c>
      <c r="C73" s="1" t="n">
        <v>45351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20604-2022</t>
        </is>
      </c>
      <c r="B74" s="1" t="n">
        <v>44700</v>
      </c>
      <c r="C74" s="1" t="n">
        <v>45351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20607-2022</t>
        </is>
      </c>
      <c r="B75" s="1" t="n">
        <v>44700</v>
      </c>
      <c r="C75" s="1" t="n">
        <v>45351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29786-2022</t>
        </is>
      </c>
      <c r="B76" s="1" t="n">
        <v>44755</v>
      </c>
      <c r="C76" s="1" t="n">
        <v>45351</v>
      </c>
      <c r="D76" t="inlineStr">
        <is>
          <t>STOCKHOLMS LÄN</t>
        </is>
      </c>
      <c r="E76" t="inlineStr">
        <is>
          <t>UPPLANDS-BRO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29784-2022</t>
        </is>
      </c>
      <c r="B77" s="1" t="n">
        <v>44755</v>
      </c>
      <c r="C77" s="1" t="n">
        <v>45351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31160-2022</t>
        </is>
      </c>
      <c r="B78" s="1" t="n">
        <v>44770</v>
      </c>
      <c r="C78" s="1" t="n">
        <v>45351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46153-2022</t>
        </is>
      </c>
      <c r="B79" s="1" t="n">
        <v>44845</v>
      </c>
      <c r="C79" s="1" t="n">
        <v>45351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50905-2022</t>
        </is>
      </c>
      <c r="B80" s="1" t="n">
        <v>44865</v>
      </c>
      <c r="C80" s="1" t="n">
        <v>45351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59836-2022</t>
        </is>
      </c>
      <c r="B81" s="1" t="n">
        <v>44901</v>
      </c>
      <c r="C81" s="1" t="n">
        <v>45351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45351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59848-2022</t>
        </is>
      </c>
      <c r="B83" s="1" t="n">
        <v>44901</v>
      </c>
      <c r="C83" s="1" t="n">
        <v>45351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59402-2022</t>
        </is>
      </c>
      <c r="B84" s="1" t="n">
        <v>44906</v>
      </c>
      <c r="C84" s="1" t="n">
        <v>45351</v>
      </c>
      <c r="D84" t="inlineStr">
        <is>
          <t>STOCKHOLMS LÄN</t>
        </is>
      </c>
      <c r="E84" t="inlineStr">
        <is>
          <t>UPPLANDS-BRO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3594-2023</t>
        </is>
      </c>
      <c r="B85" s="1" t="n">
        <v>44950</v>
      </c>
      <c r="C85" s="1" t="n">
        <v>45351</v>
      </c>
      <c r="D85" t="inlineStr">
        <is>
          <t>STOCKHOLMS LÄN</t>
        </is>
      </c>
      <c r="E85" t="inlineStr">
        <is>
          <t>UPPLANDS-BRO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3622-2023</t>
        </is>
      </c>
      <c r="B86" s="1" t="n">
        <v>44950</v>
      </c>
      <c r="C86" s="1" t="n">
        <v>45351</v>
      </c>
      <c r="D86" t="inlineStr">
        <is>
          <t>STOCKHOLMS LÄN</t>
        </is>
      </c>
      <c r="E86" t="inlineStr">
        <is>
          <t>UPPLANDS-BRO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3630-2023</t>
        </is>
      </c>
      <c r="B87" s="1" t="n">
        <v>44950</v>
      </c>
      <c r="C87" s="1" t="n">
        <v>45351</v>
      </c>
      <c r="D87" t="inlineStr">
        <is>
          <t>STOCKHOLMS LÄN</t>
        </is>
      </c>
      <c r="E87" t="inlineStr">
        <is>
          <t>UPPLANDS-BRO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4153-2023</t>
        </is>
      </c>
      <c r="B88" s="1" t="n">
        <v>44950</v>
      </c>
      <c r="C88" s="1" t="n">
        <v>45351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4338-2023</t>
        </is>
      </c>
      <c r="B89" s="1" t="n">
        <v>44953</v>
      </c>
      <c r="C89" s="1" t="n">
        <v>45351</v>
      </c>
      <c r="D89" t="inlineStr">
        <is>
          <t>STOCKHOLMS LÄN</t>
        </is>
      </c>
      <c r="E89" t="inlineStr">
        <is>
          <t>UPPLANDS-BRO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5264-2023</t>
        </is>
      </c>
      <c r="B90" s="1" t="n">
        <v>44959</v>
      </c>
      <c r="C90" s="1" t="n">
        <v>45351</v>
      </c>
      <c r="D90" t="inlineStr">
        <is>
          <t>STOCKHOLMS LÄN</t>
        </is>
      </c>
      <c r="E90" t="inlineStr">
        <is>
          <t>UPPLANDS-BRO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14824-2023</t>
        </is>
      </c>
      <c r="B91" s="1" t="n">
        <v>45013</v>
      </c>
      <c r="C91" s="1" t="n">
        <v>45351</v>
      </c>
      <c r="D91" t="inlineStr">
        <is>
          <t>STOCKHOLMS LÄN</t>
        </is>
      </c>
      <c r="E91" t="inlineStr">
        <is>
          <t>UPPLANDS-BRO</t>
        </is>
      </c>
      <c r="F91" t="inlineStr">
        <is>
          <t>Allmännings- och besparingsskogar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15724-2023</t>
        </is>
      </c>
      <c r="B92" s="1" t="n">
        <v>45021</v>
      </c>
      <c r="C92" s="1" t="n">
        <v>45351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21659-2023</t>
        </is>
      </c>
      <c r="B93" s="1" t="n">
        <v>45063</v>
      </c>
      <c r="C93" s="1" t="n">
        <v>45351</v>
      </c>
      <c r="D93" t="inlineStr">
        <is>
          <t>STOCKHOLMS LÄN</t>
        </is>
      </c>
      <c r="E93" t="inlineStr">
        <is>
          <t>UPPLANDS-BRO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27299-2023</t>
        </is>
      </c>
      <c r="B94" s="1" t="n">
        <v>45096</v>
      </c>
      <c r="C94" s="1" t="n">
        <v>45351</v>
      </c>
      <c r="D94" t="inlineStr">
        <is>
          <t>STOCKHOLMS LÄN</t>
        </is>
      </c>
      <c r="E94" t="inlineStr">
        <is>
          <t>UPPLANDS-BRO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27318-2023</t>
        </is>
      </c>
      <c r="B95" s="1" t="n">
        <v>45096</v>
      </c>
      <c r="C95" s="1" t="n">
        <v>45351</v>
      </c>
      <c r="D95" t="inlineStr">
        <is>
          <t>STOCKHOLMS LÄN</t>
        </is>
      </c>
      <c r="E95" t="inlineStr">
        <is>
          <t>UPPLANDS-BRO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27313-2023</t>
        </is>
      </c>
      <c r="B96" s="1" t="n">
        <v>45096</v>
      </c>
      <c r="C96" s="1" t="n">
        <v>45351</v>
      </c>
      <c r="D96" t="inlineStr">
        <is>
          <t>STOCKHOLMS LÄN</t>
        </is>
      </c>
      <c r="E96" t="inlineStr">
        <is>
          <t>UPPLANDS-BRO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46438-2023</t>
        </is>
      </c>
      <c r="B97" s="1" t="n">
        <v>45197</v>
      </c>
      <c r="C97" s="1" t="n">
        <v>45351</v>
      </c>
      <c r="D97" t="inlineStr">
        <is>
          <t>STOCKHOLMS LÄN</t>
        </is>
      </c>
      <c r="E97" t="inlineStr">
        <is>
          <t>UPPLANDS-BRO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46451-2023</t>
        </is>
      </c>
      <c r="B98" s="1" t="n">
        <v>45197</v>
      </c>
      <c r="C98" s="1" t="n">
        <v>45351</v>
      </c>
      <c r="D98" t="inlineStr">
        <is>
          <t>STOCKHOLMS LÄN</t>
        </is>
      </c>
      <c r="E98" t="inlineStr">
        <is>
          <t>UPPLANDS-BRO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46443-2023</t>
        </is>
      </c>
      <c r="B99" s="1" t="n">
        <v>45197</v>
      </c>
      <c r="C99" s="1" t="n">
        <v>45351</v>
      </c>
      <c r="D99" t="inlineStr">
        <is>
          <t>STOCKHOLMS LÄN</t>
        </is>
      </c>
      <c r="E99" t="inlineStr">
        <is>
          <t>UPPLANDS-BRO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49160-2023</t>
        </is>
      </c>
      <c r="B100" s="1" t="n">
        <v>45204</v>
      </c>
      <c r="C100" s="1" t="n">
        <v>45351</v>
      </c>
      <c r="D100" t="inlineStr">
        <is>
          <t>STOCKHOLMS LÄN</t>
        </is>
      </c>
      <c r="E100" t="inlineStr">
        <is>
          <t>UPPLANDS-BRO</t>
        </is>
      </c>
      <c r="F100" t="inlineStr">
        <is>
          <t>Allmännings- och besparingsskogar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51587-2023</t>
        </is>
      </c>
      <c r="B101" s="1" t="n">
        <v>45215</v>
      </c>
      <c r="C101" s="1" t="n">
        <v>45351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50294-2023</t>
        </is>
      </c>
      <c r="B102" s="1" t="n">
        <v>45216</v>
      </c>
      <c r="C102" s="1" t="n">
        <v>45351</v>
      </c>
      <c r="D102" t="inlineStr">
        <is>
          <t>STOCKHOLMS LÄN</t>
        </is>
      </c>
      <c r="E102" t="inlineStr">
        <is>
          <t>UPPLANDS-BRO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54222-2023</t>
        </is>
      </c>
      <c r="B103" s="1" t="n">
        <v>45225</v>
      </c>
      <c r="C103" s="1" t="n">
        <v>45351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Övriga statliga verk och myndigheter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53840-2023</t>
        </is>
      </c>
      <c r="B104" s="1" t="n">
        <v>45231</v>
      </c>
      <c r="C104" s="1" t="n">
        <v>45351</v>
      </c>
      <c r="D104" t="inlineStr">
        <is>
          <t>STOCKHOLMS LÄN</t>
        </is>
      </c>
      <c r="E104" t="inlineStr">
        <is>
          <t>UPPLANDS-BRO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53836-2023</t>
        </is>
      </c>
      <c r="B105" s="1" t="n">
        <v>45231</v>
      </c>
      <c r="C105" s="1" t="n">
        <v>45351</v>
      </c>
      <c r="D105" t="inlineStr">
        <is>
          <t>STOCKHOLMS LÄN</t>
        </is>
      </c>
      <c r="E105" t="inlineStr">
        <is>
          <t>UPPLANDS-BRO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53832-2023</t>
        </is>
      </c>
      <c r="B106" s="1" t="n">
        <v>45231</v>
      </c>
      <c r="C106" s="1" t="n">
        <v>45351</v>
      </c>
      <c r="D106" t="inlineStr">
        <is>
          <t>STOCKHOLMS LÄN</t>
        </is>
      </c>
      <c r="E106" t="inlineStr">
        <is>
          <t>UPPLANDS-BRO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55586-2023</t>
        </is>
      </c>
      <c r="B107" s="1" t="n">
        <v>45232</v>
      </c>
      <c r="C107" s="1" t="n">
        <v>45351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38.9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64107-2023</t>
        </is>
      </c>
      <c r="B108" s="1" t="n">
        <v>45279</v>
      </c>
      <c r="C108" s="1" t="n">
        <v>45351</v>
      </c>
      <c r="D108" t="inlineStr">
        <is>
          <t>STOCKHOLMS LÄN</t>
        </is>
      </c>
      <c r="E108" t="inlineStr">
        <is>
          <t>UPPLANDS-BRO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64110-2023</t>
        </is>
      </c>
      <c r="B109" s="1" t="n">
        <v>45279</v>
      </c>
      <c r="C109" s="1" t="n">
        <v>45351</v>
      </c>
      <c r="D109" t="inlineStr">
        <is>
          <t>STOCKHOLMS LÄN</t>
        </is>
      </c>
      <c r="E109" t="inlineStr">
        <is>
          <t>UPPLANDS-BRO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64114-2023</t>
        </is>
      </c>
      <c r="B110" s="1" t="n">
        <v>45279</v>
      </c>
      <c r="C110" s="1" t="n">
        <v>45351</v>
      </c>
      <c r="D110" t="inlineStr">
        <is>
          <t>STOCKHOLMS LÄN</t>
        </is>
      </c>
      <c r="E110" t="inlineStr">
        <is>
          <t>UPPLANDS-BRO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45351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45351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2600-2024</t>
        </is>
      </c>
      <c r="B113" s="1" t="n">
        <v>45313</v>
      </c>
      <c r="C113" s="1" t="n">
        <v>45351</v>
      </c>
      <c r="D113" t="inlineStr">
        <is>
          <t>STOCKHOLMS LÄN</t>
        </is>
      </c>
      <c r="E113" t="inlineStr">
        <is>
          <t>UPPLANDS-BRO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2502-2024</t>
        </is>
      </c>
      <c r="B114" s="1" t="n">
        <v>45313</v>
      </c>
      <c r="C114" s="1" t="n">
        <v>45351</v>
      </c>
      <c r="D114" t="inlineStr">
        <is>
          <t>STOCKHOLMS LÄN</t>
        </is>
      </c>
      <c r="E114" t="inlineStr">
        <is>
          <t>UPPLANDS-BRO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2594-2024</t>
        </is>
      </c>
      <c r="B115" s="1" t="n">
        <v>45313</v>
      </c>
      <c r="C115" s="1" t="n">
        <v>45351</v>
      </c>
      <c r="D115" t="inlineStr">
        <is>
          <t>STOCKHOLMS LÄN</t>
        </is>
      </c>
      <c r="E115" t="inlineStr">
        <is>
          <t>UPPLANDS-BRO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2602-2024</t>
        </is>
      </c>
      <c r="B116" s="1" t="n">
        <v>45313</v>
      </c>
      <c r="C116" s="1" t="n">
        <v>45351</v>
      </c>
      <c r="D116" t="inlineStr">
        <is>
          <t>STOCKHOLMS LÄN</t>
        </is>
      </c>
      <c r="E116" t="inlineStr">
        <is>
          <t>UPPLANDS-BRO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4060-2024</t>
        </is>
      </c>
      <c r="B117" s="1" t="n">
        <v>45323</v>
      </c>
      <c r="C117" s="1" t="n">
        <v>45351</v>
      </c>
      <c r="D117" t="inlineStr">
        <is>
          <t>STOCKHOLMS LÄN</t>
        </is>
      </c>
      <c r="E117" t="inlineStr">
        <is>
          <t>UPPLANDS-BRO</t>
        </is>
      </c>
      <c r="F117" t="inlineStr">
        <is>
          <t>Övriga statliga verk och myndigheter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6256-2024</t>
        </is>
      </c>
      <c r="B118" s="1" t="n">
        <v>45337</v>
      </c>
      <c r="C118" s="1" t="n">
        <v>45351</v>
      </c>
      <c r="D118" t="inlineStr">
        <is>
          <t>STOCKHOLMS LÄN</t>
        </is>
      </c>
      <c r="E118" t="inlineStr">
        <is>
          <t>UPPLANDS-BRO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6257-2024</t>
        </is>
      </c>
      <c r="B119" s="1" t="n">
        <v>45337</v>
      </c>
      <c r="C119" s="1" t="n">
        <v>45351</v>
      </c>
      <c r="D119" t="inlineStr">
        <is>
          <t>STOCKHOLMS LÄN</t>
        </is>
      </c>
      <c r="E119" t="inlineStr">
        <is>
          <t>UPPLANDS-BRO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7860-2024</t>
        </is>
      </c>
      <c r="B120" s="1" t="n">
        <v>45348</v>
      </c>
      <c r="C120" s="1" t="n">
        <v>45351</v>
      </c>
      <c r="D120" t="inlineStr">
        <is>
          <t>STOCKHOLMS LÄN</t>
        </is>
      </c>
      <c r="E120" t="inlineStr">
        <is>
          <t>UPPLANDS-BRO</t>
        </is>
      </c>
      <c r="F120" t="inlineStr">
        <is>
          <t>Övriga statliga verk och myndigheter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2024-02-29T12:58:17Z</dcterms:created>
  <dcterms:modified xmlns:dcterms="http://purl.org/dc/terms/" xmlns:xsi="http://www.w3.org/2001/XMLSchema-instance" xsi:type="dcterms:W3CDTF">2024-02-29T12:58:17Z</dcterms:modified>
</cp:coreProperties>
</file>