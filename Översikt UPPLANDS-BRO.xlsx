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46093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46093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46093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46093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46093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46093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46093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46093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64098-2023</t>
        </is>
      </c>
      <c r="B10" s="1" t="n">
        <v>45279</v>
      </c>
      <c r="C10" s="1" t="n">
        <v>46093</v>
      </c>
      <c r="D10" t="inlineStr">
        <is>
          <t>STOCKHOLMS LÄN</t>
        </is>
      </c>
      <c r="E10" t="inlineStr">
        <is>
          <t>UPPLANDS-BRO</t>
        </is>
      </c>
      <c r="G10" t="n">
        <v>0.3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Skogsalmsdvärgmal</t>
        </is>
      </c>
      <c r="S10">
        <f>HYPERLINK("https://klasma.github.io/Logging_0139/artfynd/A 64098-2023 artfynd.xlsx", "A 64098-2023")</f>
        <v/>
      </c>
      <c r="T10">
        <f>HYPERLINK("https://klasma.github.io/Logging_0139/kartor/A 64098-2023 karta.png", "A 64098-2023")</f>
        <v/>
      </c>
      <c r="V10">
        <f>HYPERLINK("https://klasma.github.io/Logging_0139/klagomål/A 64098-2023 FSC-klagomål.docx", "A 64098-2023")</f>
        <v/>
      </c>
      <c r="W10">
        <f>HYPERLINK("https://klasma.github.io/Logging_0139/klagomålsmail/A 64098-2023 FSC-klagomål mail.docx", "A 64098-2023")</f>
        <v/>
      </c>
      <c r="X10">
        <f>HYPERLINK("https://klasma.github.io/Logging_0139/tillsyn/A 64098-2023 tillsynsbegäran.docx", "A 64098-2023")</f>
        <v/>
      </c>
      <c r="Y10">
        <f>HYPERLINK("https://klasma.github.io/Logging_0139/tillsynsmail/A 64098-2023 tillsynsbegäran mail.docx", "A 64098-2023")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46093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46093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11447-2025</t>
        </is>
      </c>
      <c r="B13" s="1" t="n">
        <v>45726</v>
      </c>
      <c r="C13" s="1" t="n">
        <v>46093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Myskbock</t>
        </is>
      </c>
      <c r="S13">
        <f>HYPERLINK("https://klasma.github.io/Logging_0139/artfynd/A 11447-2025 artfynd.xlsx", "A 11447-2025")</f>
        <v/>
      </c>
      <c r="T13">
        <f>HYPERLINK("https://klasma.github.io/Logging_0139/kartor/A 11447-2025 karta.png", "A 11447-2025")</f>
        <v/>
      </c>
      <c r="V13">
        <f>HYPERLINK("https://klasma.github.io/Logging_0139/klagomål/A 11447-2025 FSC-klagomål.docx", "A 11447-2025")</f>
        <v/>
      </c>
      <c r="W13">
        <f>HYPERLINK("https://klasma.github.io/Logging_0139/klagomålsmail/A 11447-2025 FSC-klagomål mail.docx", "A 11447-2025")</f>
        <v/>
      </c>
      <c r="X13">
        <f>HYPERLINK("https://klasma.github.io/Logging_0139/tillsyn/A 11447-2025 tillsynsbegäran.docx", "A 11447-2025")</f>
        <v/>
      </c>
      <c r="Y13">
        <f>HYPERLINK("https://klasma.github.io/Logging_0139/tillsynsmail/A 11447-2025 tillsynsbegäran mail.docx", "A 11447-2025")</f>
        <v/>
      </c>
    </row>
    <row r="14" ht="15" customHeight="1">
      <c r="A14" t="inlineStr">
        <is>
          <t>A 53357-2025</t>
        </is>
      </c>
      <c r="B14" s="1" t="n">
        <v>45959.46942129629</v>
      </c>
      <c r="C14" s="1" t="n">
        <v>46093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46093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Bredbrämad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2409-2026</t>
        </is>
      </c>
      <c r="B16" s="1" t="n">
        <v>46034</v>
      </c>
      <c r="C16" s="1" t="n">
        <v>46093</v>
      </c>
      <c r="D16" t="inlineStr">
        <is>
          <t>STOCKHOLMS LÄN</t>
        </is>
      </c>
      <c r="E16" t="inlineStr">
        <is>
          <t>UPPLANDS-BRO</t>
        </is>
      </c>
      <c r="G16" t="n">
        <v>14.2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HYPERLINK("https://klasma.github.io/Logging_0139/artfynd/A 2409-2026 artfynd.xlsx", "A 2409-2026")</f>
        <v/>
      </c>
      <c r="T16">
        <f>HYPERLINK("https://klasma.github.io/Logging_0139/kartor/A 2409-2026 karta.png", "A 2409-2026")</f>
        <v/>
      </c>
      <c r="V16">
        <f>HYPERLINK("https://klasma.github.io/Logging_0139/klagomål/A 2409-2026 FSC-klagomål.docx", "A 2409-2026")</f>
        <v/>
      </c>
      <c r="W16">
        <f>HYPERLINK("https://klasma.github.io/Logging_0139/klagomålsmail/A 2409-2026 FSC-klagomål mail.docx", "A 2409-2026")</f>
        <v/>
      </c>
      <c r="X16">
        <f>HYPERLINK("https://klasma.github.io/Logging_0139/tillsyn/A 2409-2026 tillsynsbegäran.docx", "A 2409-2026")</f>
        <v/>
      </c>
      <c r="Y16">
        <f>HYPERLINK("https://klasma.github.io/Logging_0139/tillsynsmail/A 2409-2026 tillsynsbegäran mail.docx", "A 2409-2026")</f>
        <v/>
      </c>
      <c r="Z16">
        <f>HYPERLINK("https://klasma.github.io/Logging_0139/fåglar/A 2409-2026 prioriterade fågelarter.docx", "A 2409-2026")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46093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46093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46093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46093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46093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46093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46093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46093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36111-2021</t>
        </is>
      </c>
      <c r="B25" s="1" t="n">
        <v>44389.5421875</v>
      </c>
      <c r="C25" s="1" t="n">
        <v>46093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46093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24308-2021</t>
        </is>
      </c>
      <c r="B27" s="1" t="n">
        <v>44336</v>
      </c>
      <c r="C27" s="1" t="n">
        <v>46093</v>
      </c>
      <c r="D27" t="inlineStr">
        <is>
          <t>STOCKHOLMS LÄN</t>
        </is>
      </c>
      <c r="E27" t="inlineStr">
        <is>
          <t>UPPLANDS-BRO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4338-2023</t>
        </is>
      </c>
      <c r="B28" s="1" t="n">
        <v>44953</v>
      </c>
      <c r="C28" s="1" t="n">
        <v>46093</v>
      </c>
      <c r="D28" t="inlineStr">
        <is>
          <t>STOCKHOLMS LÄN</t>
        </is>
      </c>
      <c r="E28" t="inlineStr">
        <is>
          <t>UPPLANDS-BRO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58011-2021</t>
        </is>
      </c>
      <c r="B29" s="1" t="n">
        <v>44487</v>
      </c>
      <c r="C29" s="1" t="n">
        <v>46093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9.199999999999999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72524-2021</t>
        </is>
      </c>
      <c r="B30" s="1" t="n">
        <v>44546</v>
      </c>
      <c r="C30" s="1" t="n">
        <v>46093</v>
      </c>
      <c r="D30" t="inlineStr">
        <is>
          <t>STOCKHOLMS LÄN</t>
        </is>
      </c>
      <c r="E30" t="inlineStr">
        <is>
          <t>UPPLANDS-BRO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64107-2023</t>
        </is>
      </c>
      <c r="B31" s="1" t="n">
        <v>45279</v>
      </c>
      <c r="C31" s="1" t="n">
        <v>46093</v>
      </c>
      <c r="D31" t="inlineStr">
        <is>
          <t>STOCKHOLMS LÄN</t>
        </is>
      </c>
      <c r="E31" t="inlineStr">
        <is>
          <t>UPPLANDS-BRO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23093-2024</t>
        </is>
      </c>
      <c r="B32" s="1" t="n">
        <v>45450</v>
      </c>
      <c r="C32" s="1" t="n">
        <v>46093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41463-2021</t>
        </is>
      </c>
      <c r="B33" s="1" t="n">
        <v>44424</v>
      </c>
      <c r="C33" s="1" t="n">
        <v>46093</v>
      </c>
      <c r="D33" t="inlineStr">
        <is>
          <t>STOCKHOLMS LÄN</t>
        </is>
      </c>
      <c r="E33" t="inlineStr">
        <is>
          <t>UPPLANDS-BRO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31160-2022</t>
        </is>
      </c>
      <c r="B34" s="1" t="n">
        <v>44770</v>
      </c>
      <c r="C34" s="1" t="n">
        <v>46093</v>
      </c>
      <c r="D34" t="inlineStr">
        <is>
          <t>STOCKHOLMS LÄN</t>
        </is>
      </c>
      <c r="E34" t="inlineStr">
        <is>
          <t>UPPLANDS-BRO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14719-2022</t>
        </is>
      </c>
      <c r="B35" s="1" t="n">
        <v>44655</v>
      </c>
      <c r="C35" s="1" t="n">
        <v>46093</v>
      </c>
      <c r="D35" t="inlineStr">
        <is>
          <t>STOCKHOLMS LÄN</t>
        </is>
      </c>
      <c r="E35" t="inlineStr">
        <is>
          <t>UPPLANDS-BRO</t>
        </is>
      </c>
      <c r="F35" t="inlineStr">
        <is>
          <t>Allmännings- och besparingsskogar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27313-2023</t>
        </is>
      </c>
      <c r="B36" s="1" t="n">
        <v>45096</v>
      </c>
      <c r="C36" s="1" t="n">
        <v>46093</v>
      </c>
      <c r="D36" t="inlineStr">
        <is>
          <t>STOCKHOLMS LÄN</t>
        </is>
      </c>
      <c r="E36" t="inlineStr">
        <is>
          <t>UPPLANDS-BRO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56756-2021</t>
        </is>
      </c>
      <c r="B37" s="1" t="n">
        <v>44481</v>
      </c>
      <c r="C37" s="1" t="n">
        <v>46093</v>
      </c>
      <c r="D37" t="inlineStr">
        <is>
          <t>STOCKHOLMS LÄN</t>
        </is>
      </c>
      <c r="E37" t="inlineStr">
        <is>
          <t>UPPLANDS-BRO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59377-2024</t>
        </is>
      </c>
      <c r="B38" s="1" t="n">
        <v>45638.35164351852</v>
      </c>
      <c r="C38" s="1" t="n">
        <v>46093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40514-2021</t>
        </is>
      </c>
      <c r="B39" s="1" t="n">
        <v>44420</v>
      </c>
      <c r="C39" s="1" t="n">
        <v>46093</v>
      </c>
      <c r="D39" t="inlineStr">
        <is>
          <t>STOCKHOLMS LÄN</t>
        </is>
      </c>
      <c r="E39" t="inlineStr">
        <is>
          <t>UPPLANDS-BRO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55586-2023</t>
        </is>
      </c>
      <c r="B40" s="1" t="n">
        <v>45232</v>
      </c>
      <c r="C40" s="1" t="n">
        <v>46093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59700-2021</t>
        </is>
      </c>
      <c r="B41" s="1" t="n">
        <v>44494</v>
      </c>
      <c r="C41" s="1" t="n">
        <v>46093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38902-2024</t>
        </is>
      </c>
      <c r="B42" s="1" t="n">
        <v>45547</v>
      </c>
      <c r="C42" s="1" t="n">
        <v>46093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12363-2025</t>
        </is>
      </c>
      <c r="B43" s="1" t="n">
        <v>45730.37431712963</v>
      </c>
      <c r="C43" s="1" t="n">
        <v>46093</v>
      </c>
      <c r="D43" t="inlineStr">
        <is>
          <t>STOCKHOLMS LÄN</t>
        </is>
      </c>
      <c r="E43" t="inlineStr">
        <is>
          <t>UPPLANDS-BRO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50294-2023</t>
        </is>
      </c>
      <c r="B44" s="1" t="n">
        <v>45216</v>
      </c>
      <c r="C44" s="1" t="n">
        <v>46093</v>
      </c>
      <c r="D44" t="inlineStr">
        <is>
          <t>STOCKHOLMS LÄN</t>
        </is>
      </c>
      <c r="E44" t="inlineStr">
        <is>
          <t>UPPLANDS-BRO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51587-2023</t>
        </is>
      </c>
      <c r="B45" s="1" t="n">
        <v>45215</v>
      </c>
      <c r="C45" s="1" t="n">
        <v>46093</v>
      </c>
      <c r="D45" t="inlineStr">
        <is>
          <t>STOCKHOLMS LÄN</t>
        </is>
      </c>
      <c r="E45" t="inlineStr">
        <is>
          <t>UPPLANDS-BRO</t>
        </is>
      </c>
      <c r="F45" t="inlineStr">
        <is>
          <t>Allmännings- och besparingsskogar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46438-2023</t>
        </is>
      </c>
      <c r="B46" s="1" t="n">
        <v>45197</v>
      </c>
      <c r="C46" s="1" t="n">
        <v>46093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10910-2025</t>
        </is>
      </c>
      <c r="B47" s="1" t="n">
        <v>45722</v>
      </c>
      <c r="C47" s="1" t="n">
        <v>46093</v>
      </c>
      <c r="D47" t="inlineStr">
        <is>
          <t>STOCKHOLMS LÄN</t>
        </is>
      </c>
      <c r="E47" t="inlineStr">
        <is>
          <t>UPPLANDS-BRO</t>
        </is>
      </c>
      <c r="F47" t="inlineStr">
        <is>
          <t>Allmännings- och besparingsskogar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12372-2025</t>
        </is>
      </c>
      <c r="B48" s="1" t="n">
        <v>45730.37740740741</v>
      </c>
      <c r="C48" s="1" t="n">
        <v>46093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5264-2023</t>
        </is>
      </c>
      <c r="B49" s="1" t="n">
        <v>44959</v>
      </c>
      <c r="C49" s="1" t="n">
        <v>46093</v>
      </c>
      <c r="D49" t="inlineStr">
        <is>
          <t>STOCKHOLMS LÄN</t>
        </is>
      </c>
      <c r="E49" t="inlineStr">
        <is>
          <t>UPPLANDS-BRO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59848-2022</t>
        </is>
      </c>
      <c r="B50" s="1" t="n">
        <v>44901</v>
      </c>
      <c r="C50" s="1" t="n">
        <v>46093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49622-2021</t>
        </is>
      </c>
      <c r="B51" s="1" t="n">
        <v>44455</v>
      </c>
      <c r="C51" s="1" t="n">
        <v>46093</v>
      </c>
      <c r="D51" t="inlineStr">
        <is>
          <t>STOCKHOLMS LÄN</t>
        </is>
      </c>
      <c r="E51" t="inlineStr">
        <is>
          <t>UPPLANDS-BRO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64110-2023</t>
        </is>
      </c>
      <c r="B52" s="1" t="n">
        <v>45279</v>
      </c>
      <c r="C52" s="1" t="n">
        <v>46093</v>
      </c>
      <c r="D52" t="inlineStr">
        <is>
          <t>STOCKHOLMS LÄN</t>
        </is>
      </c>
      <c r="E52" t="inlineStr">
        <is>
          <t>UPPLANDS-BRO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7110-2025</t>
        </is>
      </c>
      <c r="B53" s="1" t="n">
        <v>45701</v>
      </c>
      <c r="C53" s="1" t="n">
        <v>46093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27805-2021</t>
        </is>
      </c>
      <c r="B54" s="1" t="n">
        <v>44354</v>
      </c>
      <c r="C54" s="1" t="n">
        <v>46093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31370-2021</t>
        </is>
      </c>
      <c r="B55" s="1" t="n">
        <v>44368</v>
      </c>
      <c r="C55" s="1" t="n">
        <v>46093</v>
      </c>
      <c r="D55" t="inlineStr">
        <is>
          <t>STOCKHOLMS LÄN</t>
        </is>
      </c>
      <c r="E55" t="inlineStr">
        <is>
          <t>UPPLANDS-BRO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23098-2024</t>
        </is>
      </c>
      <c r="B56" s="1" t="n">
        <v>45450</v>
      </c>
      <c r="C56" s="1" t="n">
        <v>46093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7275-2022</t>
        </is>
      </c>
      <c r="B57" s="1" t="n">
        <v>44606</v>
      </c>
      <c r="C57" s="1" t="n">
        <v>46093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2602-2024</t>
        </is>
      </c>
      <c r="B58" s="1" t="n">
        <v>45313.73068287037</v>
      </c>
      <c r="C58" s="1" t="n">
        <v>46093</v>
      </c>
      <c r="D58" t="inlineStr">
        <is>
          <t>STOCKHOLMS LÄN</t>
        </is>
      </c>
      <c r="E58" t="inlineStr">
        <is>
          <t>UPPLANDS-BRO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59402-2022</t>
        </is>
      </c>
      <c r="B59" s="1" t="n">
        <v>44906</v>
      </c>
      <c r="C59" s="1" t="n">
        <v>46093</v>
      </c>
      <c r="D59" t="inlineStr">
        <is>
          <t>STOCKHOLMS LÄN</t>
        </is>
      </c>
      <c r="E59" t="inlineStr">
        <is>
          <t>UPPLANDS-BRO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58598-2025</t>
        </is>
      </c>
      <c r="B60" s="1" t="n">
        <v>45986</v>
      </c>
      <c r="C60" s="1" t="n">
        <v>46093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21560-2021</t>
        </is>
      </c>
      <c r="B61" s="1" t="n">
        <v>44321</v>
      </c>
      <c r="C61" s="1" t="n">
        <v>46093</v>
      </c>
      <c r="D61" t="inlineStr">
        <is>
          <t>STOCKHOLMS LÄN</t>
        </is>
      </c>
      <c r="E61" t="inlineStr">
        <is>
          <t>UPPLANDS-BRO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59844-2022</t>
        </is>
      </c>
      <c r="B62" s="1" t="n">
        <v>44901</v>
      </c>
      <c r="C62" s="1" t="n">
        <v>46093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54222-2023</t>
        </is>
      </c>
      <c r="B63" s="1" t="n">
        <v>45225</v>
      </c>
      <c r="C63" s="1" t="n">
        <v>46093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3630-2023</t>
        </is>
      </c>
      <c r="B64" s="1" t="n">
        <v>44950</v>
      </c>
      <c r="C64" s="1" t="n">
        <v>46093</v>
      </c>
      <c r="D64" t="inlineStr">
        <is>
          <t>STOCKHOLMS LÄN</t>
        </is>
      </c>
      <c r="E64" t="inlineStr">
        <is>
          <t>UPPLANDS-BRO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7860-2024</t>
        </is>
      </c>
      <c r="B65" s="1" t="n">
        <v>45348</v>
      </c>
      <c r="C65" s="1" t="n">
        <v>46093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3596-2026</t>
        </is>
      </c>
      <c r="B66" s="1" t="n">
        <v>46042</v>
      </c>
      <c r="C66" s="1" t="n">
        <v>46093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64105-2023</t>
        </is>
      </c>
      <c r="B67" s="1" t="n">
        <v>45279</v>
      </c>
      <c r="C67" s="1" t="n">
        <v>46093</v>
      </c>
      <c r="D67" t="inlineStr">
        <is>
          <t>STOCKHOLMS LÄN</t>
        </is>
      </c>
      <c r="E67" t="inlineStr">
        <is>
          <t>UPPLANDS-BRO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64114-2023</t>
        </is>
      </c>
      <c r="B68" s="1" t="n">
        <v>45279</v>
      </c>
      <c r="C68" s="1" t="n">
        <v>46093</v>
      </c>
      <c r="D68" t="inlineStr">
        <is>
          <t>STOCKHOLMS LÄN</t>
        </is>
      </c>
      <c r="E68" t="inlineStr">
        <is>
          <t>UPPLANDS-BRO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12378-2025</t>
        </is>
      </c>
      <c r="B69" s="1" t="n">
        <v>45730.38032407407</v>
      </c>
      <c r="C69" s="1" t="n">
        <v>46093</v>
      </c>
      <c r="D69" t="inlineStr">
        <is>
          <t>STOCKHOLMS LÄN</t>
        </is>
      </c>
      <c r="E69" t="inlineStr">
        <is>
          <t>UPPLANDS-BRO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10912-2025</t>
        </is>
      </c>
      <c r="B70" s="1" t="n">
        <v>45722</v>
      </c>
      <c r="C70" s="1" t="n">
        <v>46093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10935-2025</t>
        </is>
      </c>
      <c r="B71" s="1" t="n">
        <v>45722</v>
      </c>
      <c r="C71" s="1" t="n">
        <v>46093</v>
      </c>
      <c r="D71" t="inlineStr">
        <is>
          <t>STOCKHOLMS LÄN</t>
        </is>
      </c>
      <c r="E71" t="inlineStr">
        <is>
          <t>UPPLANDS-BRO</t>
        </is>
      </c>
      <c r="F71" t="inlineStr">
        <is>
          <t>Allmännings- och besparingsskogar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7112-2025</t>
        </is>
      </c>
      <c r="B72" s="1" t="n">
        <v>45701</v>
      </c>
      <c r="C72" s="1" t="n">
        <v>46093</v>
      </c>
      <c r="D72" t="inlineStr">
        <is>
          <t>STOCKHOLMS LÄN</t>
        </is>
      </c>
      <c r="E72" t="inlineStr">
        <is>
          <t>UPPLANDS-BRO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2046-2026</t>
        </is>
      </c>
      <c r="B73" s="1" t="n">
        <v>46031</v>
      </c>
      <c r="C73" s="1" t="n">
        <v>46093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2062-2025</t>
        </is>
      </c>
      <c r="B74" s="1" t="n">
        <v>45671</v>
      </c>
      <c r="C74" s="1" t="n">
        <v>46093</v>
      </c>
      <c r="D74" t="inlineStr">
        <is>
          <t>STOCKHOLMS LÄN</t>
        </is>
      </c>
      <c r="E74" t="inlineStr">
        <is>
          <t>UPPLANDS-BRO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23615-2025</t>
        </is>
      </c>
      <c r="B75" s="1" t="n">
        <v>45792.66532407407</v>
      </c>
      <c r="C75" s="1" t="n">
        <v>46093</v>
      </c>
      <c r="D75" t="inlineStr">
        <is>
          <t>STOCKHOLMS LÄN</t>
        </is>
      </c>
      <c r="E75" t="inlineStr">
        <is>
          <t>UPPLANDS-BRO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23627-2025</t>
        </is>
      </c>
      <c r="B76" s="1" t="n">
        <v>45792.67523148148</v>
      </c>
      <c r="C76" s="1" t="n">
        <v>46093</v>
      </c>
      <c r="D76" t="inlineStr">
        <is>
          <t>STOCKHOLMS LÄN</t>
        </is>
      </c>
      <c r="E76" t="inlineStr">
        <is>
          <t>UPPLANDS-BRO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9655-2026</t>
        </is>
      </c>
      <c r="B77" s="1" t="n">
        <v>46070</v>
      </c>
      <c r="C77" s="1" t="n">
        <v>46093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17.2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3754-2026</t>
        </is>
      </c>
      <c r="B78" s="1" t="n">
        <v>46043</v>
      </c>
      <c r="C78" s="1" t="n">
        <v>46093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9265-2026</t>
        </is>
      </c>
      <c r="B79" s="1" t="n">
        <v>46069</v>
      </c>
      <c r="C79" s="1" t="n">
        <v>46093</v>
      </c>
      <c r="D79" t="inlineStr">
        <is>
          <t>STOCKHOLMS LÄN</t>
        </is>
      </c>
      <c r="E79" t="inlineStr">
        <is>
          <t>UPPLANDS-BRO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2026-03-12T11:16:33Z</dcterms:created>
  <dcterms:modified xmlns:dcterms="http://purl.org/dc/terms/" xmlns:xsi="http://www.w3.org/2001/XMLSchema-instance" xsi:type="dcterms:W3CDTF">2026-03-12T11:16:33Z</dcterms:modified>
</cp:coreProperties>
</file>